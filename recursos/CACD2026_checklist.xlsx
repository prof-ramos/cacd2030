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CACD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<sst xmlns="http://schemas.openxmlformats.org/spreadsheetml/2006/main" count="1210" uniqueCount="657">
  <si>
    <t xml:space="preserve">Nível</t>
  </si>
  <si>
    <t xml:space="preserve">Código</t>
  </si>
  <si>
    <t xml:space="preserve">Conteúdo</t>
  </si>
  <si>
    <t xml:space="preserve">Estudado</t>
  </si>
  <si>
    <t xml:space="preserve">Disciplina</t>
  </si>
  <si>
    <t xml:space="preserve">Estudados</t>
  </si>
  <si>
    <t xml:space="preserve">Progresso</t>
  </si>
  <si>
    <t xml:space="preserve">LÍNGUA PORTUGUESA (1ª e 2ª Fases)</t>
  </si>
  <si>
    <t xml:space="preserve">LÍNGUA PORTUGUESA</t>
  </si>
  <si>
    <t xml:space="preserve">●</t>
  </si>
  <si>
    <t xml:space="preserve">1</t>
  </si>
  <si>
    <t xml:space="preserve">Língua portuguesa: modalidade culta usada contemporaneamente no Brasil</t>
  </si>
  <si>
    <t xml:space="preserve">LÍNGUA INGLESA</t>
  </si>
  <si>
    <t xml:space="preserve">  ○</t>
  </si>
  <si>
    <t xml:space="preserve">1.1</t>
  </si>
  <si>
    <t xml:space="preserve">Sistema gráfico: ortografia, acentuação e pontuação; legibilidade</t>
  </si>
  <si>
    <t xml:space="preserve">HISTÓRIA DO BRASIL</t>
  </si>
  <si>
    <t xml:space="preserve">1.2</t>
  </si>
  <si>
    <t xml:space="preserve">Morfossintaxe</t>
  </si>
  <si>
    <t xml:space="preserve">HISTÓRIA MUNDIAL</t>
  </si>
  <si>
    <t xml:space="preserve">1.3</t>
  </si>
  <si>
    <t xml:space="preserve">Semântica</t>
  </si>
  <si>
    <t xml:space="preserve">POLÍTICA INTERNACIONAL</t>
  </si>
  <si>
    <t xml:space="preserve">1.4</t>
  </si>
  <si>
    <t xml:space="preserve">Vocabulário</t>
  </si>
  <si>
    <t xml:space="preserve">GEOGRAFIA</t>
  </si>
  <si>
    <t xml:space="preserve">2</t>
  </si>
  <si>
    <t xml:space="preserve">Leitura e produção de textos</t>
  </si>
  <si>
    <t xml:space="preserve">ECONOMIA</t>
  </si>
  <si>
    <t xml:space="preserve">2.1</t>
  </si>
  <si>
    <t xml:space="preserve">Compreensão, interpretação e análise crítica de textos escritos em língua portuguesa</t>
  </si>
  <si>
    <t xml:space="preserve">DIREITO</t>
  </si>
  <si>
    <t xml:space="preserve">2.2</t>
  </si>
  <si>
    <t xml:space="preserve">Conhecimentos de linguística, literatura e estilística</t>
  </si>
  <si>
    <t xml:space="preserve">LÍNGUA ESPANHOLA</t>
  </si>
  <si>
    <t xml:space="preserve">    ▸</t>
  </si>
  <si>
    <t xml:space="preserve">Funções da linguagem</t>
  </si>
  <si>
    <t xml:space="preserve">LÍNGUA FRANCESA</t>
  </si>
  <si>
    <t xml:space="preserve">Níveis de linguagem</t>
  </si>
  <si>
    <t xml:space="preserve">TOTAL GERAL</t>
  </si>
  <si>
    <t xml:space="preserve">Variação linguística</t>
  </si>
  <si>
    <t xml:space="preserve">Gêneros e estilos textuais</t>
  </si>
  <si>
    <t xml:space="preserve">Marque "x" na coluna D para registrar estudo</t>
  </si>
  <si>
    <t xml:space="preserve">Textos literários e não literários</t>
  </si>
  <si>
    <t xml:space="preserve">Denotação e conotação</t>
  </si>
  <si>
    <t xml:space="preserve">Figuras de linguagem</t>
  </si>
  <si>
    <t xml:space="preserve">Estrutura textual</t>
  </si>
  <si>
    <t xml:space="preserve">2.3</t>
  </si>
  <si>
    <t xml:space="preserve">Redação de textos dissertativos (fundamentação, argumentação, coerência, coesão, correção gramatical)</t>
  </si>
  <si>
    <t xml:space="preserve">2.3.1</t>
  </si>
  <si>
    <t xml:space="preserve">Defeitos de conteúdo: descontextualização, generalização, simplismo, obviedade, paráfrase, cópia, tautologia, contradição</t>
  </si>
  <si>
    <t xml:space="preserve">2.3.2</t>
  </si>
  <si>
    <t xml:space="preserve">Vícios de linguagem e estilo: ruptura de registro, coloquialismo, barbarismo, anacronismo, rebuscamento, redundância, linguagem estereotipada</t>
  </si>
  <si>
    <t xml:space="preserve">LÍNGUA INGLESA (1ª e 2ª Fases)</t>
  </si>
  <si>
    <t xml:space="preserve">1F.1</t>
  </si>
  <si>
    <t xml:space="preserve">Compreensão de textos escritos em língua inglesa</t>
  </si>
  <si>
    <t xml:space="preserve">1F.2</t>
  </si>
  <si>
    <t xml:space="preserve">Itens gramaticais relevantes para compreensão dos conteúdos semânticos</t>
  </si>
  <si>
    <t xml:space="preserve">2F.1</t>
  </si>
  <si>
    <t xml:space="preserve">Redação em língua inglesa: expressão avançada, gramática, linguagem, organização de ideias</t>
  </si>
  <si>
    <t xml:space="preserve">2F.2</t>
  </si>
  <si>
    <t xml:space="preserve">Versão português → inglês (fidelidade, registro, correção morfossintática e lexical)</t>
  </si>
  <si>
    <t xml:space="preserve">HISTÓRIA DO BRASIL (1ª e 2ª Fases)</t>
  </si>
  <si>
    <t xml:space="preserve">O período colonial</t>
  </si>
  <si>
    <t xml:space="preserve">A configuração territorial da América Portuguesa</t>
  </si>
  <si>
    <t xml:space="preserve">As dimensões econômicas e sociais da América Portuguesa</t>
  </si>
  <si>
    <t xml:space="preserve">O processo de independência</t>
  </si>
  <si>
    <t xml:space="preserve">Movimentos emancipacionistas</t>
  </si>
  <si>
    <t xml:space="preserve">A situação política e econômica europeia</t>
  </si>
  <si>
    <t xml:space="preserve">O Brasil sede do Estado monárquico português</t>
  </si>
  <si>
    <t xml:space="preserve">2.4</t>
  </si>
  <si>
    <t xml:space="preserve">O Constitucionalismo português e a independência do Brasil</t>
  </si>
  <si>
    <t xml:space="preserve">2.5</t>
  </si>
  <si>
    <t xml:space="preserve">A influência das ideias liberais e sua repercussão no Brasil</t>
  </si>
  <si>
    <t xml:space="preserve">3</t>
  </si>
  <si>
    <t xml:space="preserve">O Primeiro Reinado (1822-1831)</t>
  </si>
  <si>
    <t xml:space="preserve">3.1</t>
  </si>
  <si>
    <t xml:space="preserve">A Constituição de 1824</t>
  </si>
  <si>
    <t xml:space="preserve">3.2</t>
  </si>
  <si>
    <t xml:space="preserve">Quadro político interno</t>
  </si>
  <si>
    <t xml:space="preserve">3.3</t>
  </si>
  <si>
    <t xml:space="preserve">Política exterior do Primeiro Reinado</t>
  </si>
  <si>
    <t xml:space="preserve">4</t>
  </si>
  <si>
    <t xml:space="preserve">A Regência (1831-1840)</t>
  </si>
  <si>
    <t xml:space="preserve">4.1</t>
  </si>
  <si>
    <t xml:space="preserve">Centralização vs descentralização: reformas institucionais</t>
  </si>
  <si>
    <t xml:space="preserve">4.2</t>
  </si>
  <si>
    <t xml:space="preserve">O Ato Adicional de 1834 e revoltas provinciais</t>
  </si>
  <si>
    <t xml:space="preserve">4.3</t>
  </si>
  <si>
    <t xml:space="preserve">A dimensão externa</t>
  </si>
  <si>
    <t xml:space="preserve">5</t>
  </si>
  <si>
    <t xml:space="preserve">O Segundo Reinado (1840-1889)</t>
  </si>
  <si>
    <t xml:space="preserve">5.1</t>
  </si>
  <si>
    <t xml:space="preserve">Estado centralizado; mudanças institucionais; partidos políticos; sistema eleitoral; unidade territorial</t>
  </si>
  <si>
    <t xml:space="preserve">5.2</t>
  </si>
  <si>
    <t xml:space="preserve">Política externa: relações com Europa e EUA; questões com Reino Unido; Guerra do Paraguai</t>
  </si>
  <si>
    <t xml:space="preserve">5.3</t>
  </si>
  <si>
    <t xml:space="preserve">A questão da escravidão</t>
  </si>
  <si>
    <t xml:space="preserve">5.4</t>
  </si>
  <si>
    <t xml:space="preserve">Crise do Estado Monárquico</t>
  </si>
  <si>
    <t xml:space="preserve">5.5</t>
  </si>
  <si>
    <t xml:space="preserve">Sociedade e cultura: população, estrutura social, vida acadêmica, científica e literária</t>
  </si>
  <si>
    <t xml:space="preserve">5.6</t>
  </si>
  <si>
    <t xml:space="preserve">Economia: agroexportação; expansão econômica; trabalho assalariado; políticas econômico-financeiras; política alfandegária</t>
  </si>
  <si>
    <t xml:space="preserve">6</t>
  </si>
  <si>
    <t xml:space="preserve">A Primeira República (1889-1930)</t>
  </si>
  <si>
    <t xml:space="preserve">6.1</t>
  </si>
  <si>
    <t xml:space="preserve">A proclamação da República e os governos militares</t>
  </si>
  <si>
    <t xml:space="preserve">6.2</t>
  </si>
  <si>
    <t xml:space="preserve">A Constituição de 1891</t>
  </si>
  <si>
    <t xml:space="preserve">6.3</t>
  </si>
  <si>
    <t xml:space="preserve">O regime oligárquico: política dos estados; coronelismo; sistema eleitoral e partidário; hegemonia SP/MG</t>
  </si>
  <si>
    <t xml:space="preserve">6.4</t>
  </si>
  <si>
    <t xml:space="preserve">A economia agroexportadora</t>
  </si>
  <si>
    <t xml:space="preserve">6.5</t>
  </si>
  <si>
    <t xml:space="preserve">Política externa: obra de Rio Branco; II Conferência de Paz da Haia; Brasil e Grande Guerra; Liga das Nações</t>
  </si>
  <si>
    <t xml:space="preserve">6.6</t>
  </si>
  <si>
    <t xml:space="preserve">Sociedade e cultura: o Modernismo</t>
  </si>
  <si>
    <t xml:space="preserve">6.7</t>
  </si>
  <si>
    <t xml:space="preserve">A crise dos anos 20: tenentismo e revoltas</t>
  </si>
  <si>
    <t xml:space="preserve">6.8</t>
  </si>
  <si>
    <t xml:space="preserve">A Revolução de 1930</t>
  </si>
  <si>
    <t xml:space="preserve">7</t>
  </si>
  <si>
    <t xml:space="preserve">A Era Vargas (1930-1945)</t>
  </si>
  <si>
    <t xml:space="preserve">7.1</t>
  </si>
  <si>
    <t xml:space="preserve">O processo político e o quadro econômico financeiro</t>
  </si>
  <si>
    <t xml:space="preserve">7.2</t>
  </si>
  <si>
    <t xml:space="preserve">A Constituição de 1934</t>
  </si>
  <si>
    <t xml:space="preserve">7.3</t>
  </si>
  <si>
    <t xml:space="preserve">A Constituição de 1937: o Estado Novo</t>
  </si>
  <si>
    <t xml:space="preserve">7.4</t>
  </si>
  <si>
    <t xml:space="preserve">Contexto internacional dos anos 1930/1940; Brasil e Segunda Guerra Mundial</t>
  </si>
  <si>
    <t xml:space="preserve">7.5</t>
  </si>
  <si>
    <t xml:space="preserve">Industrialização e legislação trabalhista</t>
  </si>
  <si>
    <t xml:space="preserve">7.6</t>
  </si>
  <si>
    <t xml:space="preserve">Sociedade e cultura</t>
  </si>
  <si>
    <t xml:space="preserve">8</t>
  </si>
  <si>
    <t xml:space="preserve">A República Liberal (1945-1964)</t>
  </si>
  <si>
    <t xml:space="preserve">8.1</t>
  </si>
  <si>
    <t xml:space="preserve">A nova ordem política: partidos políticos e eleições; Constituição de 1946</t>
  </si>
  <si>
    <t xml:space="preserve">8.2</t>
  </si>
  <si>
    <t xml:space="preserve">Industrialização e urbanização</t>
  </si>
  <si>
    <t xml:space="preserve">8.3</t>
  </si>
  <si>
    <t xml:space="preserve">Política externa: relações com EUA; Guerra Fria; OPA; PEI; Brasil na ONU; Rio da Prata; Cuba na OEA</t>
  </si>
  <si>
    <t xml:space="preserve">8.4</t>
  </si>
  <si>
    <t xml:space="preserve">9</t>
  </si>
  <si>
    <t xml:space="preserve">O Regime Militar (1964-1985)</t>
  </si>
  <si>
    <t xml:space="preserve">9.1</t>
  </si>
  <si>
    <t xml:space="preserve">A Constituição de 1967 e modificações de 1969</t>
  </si>
  <si>
    <t xml:space="preserve">9.2</t>
  </si>
  <si>
    <t xml:space="preserve">A economia</t>
  </si>
  <si>
    <t xml:space="preserve">9.3</t>
  </si>
  <si>
    <t xml:space="preserve">Política externa: relações com EUA; pragmatismo responsável; América Latina; África; ONU</t>
  </si>
  <si>
    <t xml:space="preserve">9.4</t>
  </si>
  <si>
    <t xml:space="preserve">9.5</t>
  </si>
  <si>
    <t xml:space="preserve">O processo de transição política</t>
  </si>
  <si>
    <t xml:space="preserve">10</t>
  </si>
  <si>
    <t xml:space="preserve">O processo democrático a partir de 1985</t>
  </si>
  <si>
    <t xml:space="preserve">10.1</t>
  </si>
  <si>
    <t xml:space="preserve">A Constituição de 1988</t>
  </si>
  <si>
    <t xml:space="preserve">10.2</t>
  </si>
  <si>
    <t xml:space="preserve">Partidos políticos e eleições</t>
  </si>
  <si>
    <t xml:space="preserve">10.3</t>
  </si>
  <si>
    <t xml:space="preserve">Transformações econômicas</t>
  </si>
  <si>
    <t xml:space="preserve">10.4</t>
  </si>
  <si>
    <t xml:space="preserve">Impactos da globalização</t>
  </si>
  <si>
    <t xml:space="preserve">10.5</t>
  </si>
  <si>
    <t xml:space="preserve">Mudanças sociais</t>
  </si>
  <si>
    <t xml:space="preserve">10.6</t>
  </si>
  <si>
    <t xml:space="preserve">Manifestações culturais</t>
  </si>
  <si>
    <t xml:space="preserve">10.7</t>
  </si>
  <si>
    <t xml:space="preserve">Evolução da política externa</t>
  </si>
  <si>
    <t xml:space="preserve">10.8</t>
  </si>
  <si>
    <t xml:space="preserve">MERCOSUL</t>
  </si>
  <si>
    <t xml:space="preserve">10.9</t>
  </si>
  <si>
    <t xml:space="preserve">O Brasil na ONU</t>
  </si>
  <si>
    <t xml:space="preserve">11</t>
  </si>
  <si>
    <t xml:space="preserve">Impactos tecnológicos e digitais nas transformações políticas e sociais do Brasil no séc. XXI</t>
  </si>
  <si>
    <t xml:space="preserve">HISTÓRIA MUNDIAL (1ª Fase)</t>
  </si>
  <si>
    <t xml:space="preserve">Estruturas e ideias econômicas</t>
  </si>
  <si>
    <t xml:space="preserve">Da Revolução Industrial ao capitalismo organizado: séc. XVIII a XX</t>
  </si>
  <si>
    <t xml:space="preserve">Características gerais e principais fases do desenvolvimento capitalista (desde ~1780)</t>
  </si>
  <si>
    <t xml:space="preserve">Principais ideias econômicas: da Fisiocracia ao Liberalismo</t>
  </si>
  <si>
    <t xml:space="preserve">Marxismo</t>
  </si>
  <si>
    <t xml:space="preserve">1.5</t>
  </si>
  <si>
    <t xml:space="preserve">As crises e mecanismos anticrise: Crise de 1929 e New Deal</t>
  </si>
  <si>
    <t xml:space="preserve">1.6</t>
  </si>
  <si>
    <t xml:space="preserve">A prosperidade no segundo pós-guerra</t>
  </si>
  <si>
    <t xml:space="preserve">1.7</t>
  </si>
  <si>
    <t xml:space="preserve">Estado de bem-estar social (Welfare State) e sua crise</t>
  </si>
  <si>
    <t xml:space="preserve">1.8</t>
  </si>
  <si>
    <t xml:space="preserve">O Pós-Fordismo e a acumulação flexível</t>
  </si>
  <si>
    <t xml:space="preserve">Revoluções</t>
  </si>
  <si>
    <t xml:space="preserve">A Revolução Francesa e as revoluções burguesas</t>
  </si>
  <si>
    <t xml:space="preserve">Processos de independência na América</t>
  </si>
  <si>
    <t xml:space="preserve">Conceitos e características gerais das revoluções contemporâneas</t>
  </si>
  <si>
    <t xml:space="preserve">Anarquismo</t>
  </si>
  <si>
    <t xml:space="preserve">Socialismo</t>
  </si>
  <si>
    <t xml:space="preserve">2.6</t>
  </si>
  <si>
    <t xml:space="preserve">Revoluções no séc. XX: Rússia e China</t>
  </si>
  <si>
    <t xml:space="preserve">2.7</t>
  </si>
  <si>
    <t xml:space="preserve">Revoluções na América Latina: México e Cuba</t>
  </si>
  <si>
    <t xml:space="preserve">As relações internacionais</t>
  </si>
  <si>
    <t xml:space="preserve">Modelos e interpretações</t>
  </si>
  <si>
    <t xml:space="preserve">O Concerto Europeu e sua crise (1815-1918)</t>
  </si>
  <si>
    <t xml:space="preserve">As rivalidades coloniais</t>
  </si>
  <si>
    <t xml:space="preserve">3.4</t>
  </si>
  <si>
    <t xml:space="preserve">Causas da Primeira Guerra Mundial</t>
  </si>
  <si>
    <t xml:space="preserve">3.5</t>
  </si>
  <si>
    <t xml:space="preserve">Os 14 pontos de Wilson</t>
  </si>
  <si>
    <t xml:space="preserve">3.6</t>
  </si>
  <si>
    <t xml:space="preserve">A Paz de Versalhes e a ordem mundial resultante (1919-1939)</t>
  </si>
  <si>
    <t xml:space="preserve">3.7</t>
  </si>
  <si>
    <t xml:space="preserve">A Liga das Nações</t>
  </si>
  <si>
    <t xml:space="preserve">3.8</t>
  </si>
  <si>
    <t xml:space="preserve">As causas da Segunda Guerra Mundial</t>
  </si>
  <si>
    <t xml:space="preserve">3.9</t>
  </si>
  <si>
    <t xml:space="preserve">Conferências de Moscou, Teerã, Ialta, Potsdam e São Francisco e a ordem decorrente</t>
  </si>
  <si>
    <t xml:space="preserve">3.10</t>
  </si>
  <si>
    <t xml:space="preserve">Bretton Woods</t>
  </si>
  <si>
    <t xml:space="preserve">3.11</t>
  </si>
  <si>
    <t xml:space="preserve">O Plano Marshall</t>
  </si>
  <si>
    <t xml:space="preserve">3.12</t>
  </si>
  <si>
    <t xml:space="preserve">A Organização das Nações Unidas</t>
  </si>
  <si>
    <t xml:space="preserve">3.13</t>
  </si>
  <si>
    <t xml:space="preserve">A Guerra Fria: bipolaridade (de Truman a Nixon)</t>
  </si>
  <si>
    <t xml:space="preserve">3.14</t>
  </si>
  <si>
    <t xml:space="preserve">Os conflitos localizados</t>
  </si>
  <si>
    <t xml:space="preserve">3.15</t>
  </si>
  <si>
    <t xml:space="preserve">A "détente"</t>
  </si>
  <si>
    <t xml:space="preserve">3.16</t>
  </si>
  <si>
    <t xml:space="preserve">A "segunda Guerra Fria" (Reagan-Bush)</t>
  </si>
  <si>
    <t xml:space="preserve">3.17</t>
  </si>
  <si>
    <t xml:space="preserve">A crise e a desagregação do bloco soviético</t>
  </si>
  <si>
    <t xml:space="preserve">Colonialismo, imperialismo, políticas de dominação</t>
  </si>
  <si>
    <t xml:space="preserve">O fim do colonialismo do Antigo Regime</t>
  </si>
  <si>
    <t xml:space="preserve">A nova expansão europeia</t>
  </si>
  <si>
    <t xml:space="preserve">Os debates acerca da natureza do Imperialismo</t>
  </si>
  <si>
    <t xml:space="preserve">4.4</t>
  </si>
  <si>
    <t xml:space="preserve">A partilha da África e da Ásia</t>
  </si>
  <si>
    <t xml:space="preserve">4.5</t>
  </si>
  <si>
    <t xml:space="preserve">O processo de dominação e a reação na Índia, China e Japão</t>
  </si>
  <si>
    <t xml:space="preserve">4.6</t>
  </si>
  <si>
    <t xml:space="preserve">A descolonização</t>
  </si>
  <si>
    <t xml:space="preserve">4.7</t>
  </si>
  <si>
    <t xml:space="preserve">A Conferência de Bandung</t>
  </si>
  <si>
    <t xml:space="preserve">4.8</t>
  </si>
  <si>
    <t xml:space="preserve">O Não Alinhamento</t>
  </si>
  <si>
    <t xml:space="preserve">4.9</t>
  </si>
  <si>
    <t xml:space="preserve">O conceito de Terceiro Mundo</t>
  </si>
  <si>
    <t xml:space="preserve">A evolução política e econômica nas Américas</t>
  </si>
  <si>
    <t xml:space="preserve">A expansão territorial nos EUA</t>
  </si>
  <si>
    <t xml:space="preserve">A Guerra de Secessão</t>
  </si>
  <si>
    <t xml:space="preserve">Identidades nacionais e Estados na América Latina; militarismo e caudilhismo</t>
  </si>
  <si>
    <t xml:space="preserve">A doutrina Monroe; política externa dos EUA na América Latina</t>
  </si>
  <si>
    <t xml:space="preserve">O Pan-Americanismo</t>
  </si>
  <si>
    <t xml:space="preserve">A OEA e o Tratado do Rio de Janeiro</t>
  </si>
  <si>
    <t xml:space="preserve">5.7</t>
  </si>
  <si>
    <t xml:space="preserve">As experiências de integração nas Américas</t>
  </si>
  <si>
    <t xml:space="preserve">Ideias e regimes políticos</t>
  </si>
  <si>
    <t xml:space="preserve">Correntes ideológicas do séc. XIX: liberalismo e nacionalismo</t>
  </si>
  <si>
    <t xml:space="preserve">Construção dos Estados nacionais: Alemanha e Itália</t>
  </si>
  <si>
    <t xml:space="preserve">Correntes ideológicas do séc. XX: democracia, fascismo, comunismo</t>
  </si>
  <si>
    <t xml:space="preserve">Ditaduras e regimes fascistas</t>
  </si>
  <si>
    <t xml:space="preserve">O novo nacionalismo e o fundamentalismo contemporâneo</t>
  </si>
  <si>
    <t xml:space="preserve">O liberalismo no séc. XX</t>
  </si>
  <si>
    <t xml:space="preserve">A vida cultural</t>
  </si>
  <si>
    <t xml:space="preserve">O movimento romântico</t>
  </si>
  <si>
    <t xml:space="preserve">A cultura do imperialismo</t>
  </si>
  <si>
    <t xml:space="preserve">As vanguardas europeias</t>
  </si>
  <si>
    <t xml:space="preserve">O modernismo</t>
  </si>
  <si>
    <t xml:space="preserve">A pós-modernidade</t>
  </si>
  <si>
    <t xml:space="preserve">Relações internacionais no séc. XXI: paradigmas digitais, redes sociais e ferramentas tecnológicas</t>
  </si>
  <si>
    <t xml:space="preserve">POLÍTICA INTERNACIONAL (1ª e 2ª Fases)</t>
  </si>
  <si>
    <t xml:space="preserve">Relações internacionais: conceitos, atores, processos, instituições e paradigmas teóricos</t>
  </si>
  <si>
    <t xml:space="preserve">Política externa brasileira: evolução desde 1945, vertentes e linhas de ação</t>
  </si>
  <si>
    <t xml:space="preserve">O Brasil e a América do Sul</t>
  </si>
  <si>
    <t xml:space="preserve">Integração na América do Sul</t>
  </si>
  <si>
    <t xml:space="preserve">O MERCOSUL: origens da integração no Cone Sul</t>
  </si>
  <si>
    <t xml:space="preserve">Objetivos, características e estágio atual de integração</t>
  </si>
  <si>
    <t xml:space="preserve">Iniciativas de integração física, energética, política, econômica e de defesa</t>
  </si>
  <si>
    <t xml:space="preserve">Argentina: política externa e relações com o Brasil</t>
  </si>
  <si>
    <t xml:space="preserve">Relações do Brasil com os demais países do hemisfério</t>
  </si>
  <si>
    <t xml:space="preserve">EUA: política externa e relações com o Brasil</t>
  </si>
  <si>
    <t xml:space="preserve">União Europeia: origens, evolução, estrutura, funcionamento, situação atual e relações com o Brasil</t>
  </si>
  <si>
    <t xml:space="preserve">Rússia: política externa e relações com o Brasil</t>
  </si>
  <si>
    <t xml:space="preserve">África: política externa e relações com o Brasil</t>
  </si>
  <si>
    <t xml:space="preserve">O Brasil e a Ásia</t>
  </si>
  <si>
    <t xml:space="preserve">China, Índia e Japão: políticas externas e relações com o Brasil</t>
  </si>
  <si>
    <t xml:space="preserve">O Brasil e o Oriente Médio</t>
  </si>
  <si>
    <t xml:space="preserve">11.1</t>
  </si>
  <si>
    <t xml:space="preserve">A questão israelo-palestina</t>
  </si>
  <si>
    <t xml:space="preserve">11.2</t>
  </si>
  <si>
    <t xml:space="preserve">Síria, Iraque, Irã e outras situações nacionais relevantes</t>
  </si>
  <si>
    <t xml:space="preserve">12</t>
  </si>
  <si>
    <t xml:space="preserve">A Comunidade dos Países de Língua Portuguesa</t>
  </si>
  <si>
    <t xml:space="preserve">13</t>
  </si>
  <si>
    <t xml:space="preserve">O Brasil e a agenda internacional</t>
  </si>
  <si>
    <t xml:space="preserve">13.1</t>
  </si>
  <si>
    <t xml:space="preserve">Multilateralismo universal: ONU, conferências internacionais, órgãos multilaterais</t>
  </si>
  <si>
    <t xml:space="preserve">13.2</t>
  </si>
  <si>
    <t xml:space="preserve">Desenvolvimento e desenvolvimento sustentável</t>
  </si>
  <si>
    <t xml:space="preserve">13.3</t>
  </si>
  <si>
    <t xml:space="preserve">Pobreza, insegurança alimentar e fome. Ações de combate à fome</t>
  </si>
  <si>
    <t xml:space="preserve">13.4</t>
  </si>
  <si>
    <t xml:space="preserve">Meio ambiente</t>
  </si>
  <si>
    <t xml:space="preserve">13.5</t>
  </si>
  <si>
    <t xml:space="preserve">Mar, espaço e Antártida</t>
  </si>
  <si>
    <t xml:space="preserve">13.6</t>
  </si>
  <si>
    <t xml:space="preserve">Direitos humanos e políticas de identidade: gênero, raça e religião</t>
  </si>
  <si>
    <t xml:space="preserve">13.7</t>
  </si>
  <si>
    <t xml:space="preserve">Migrações internacionais, migrantes, refugiados e apátridas</t>
  </si>
  <si>
    <t xml:space="preserve">13.8</t>
  </si>
  <si>
    <t xml:space="preserve">Comércio internacional, OMC e cadeias globais de suprimento</t>
  </si>
  <si>
    <t xml:space="preserve">13.9</t>
  </si>
  <si>
    <t xml:space="preserve">Sistema financeiro internacional</t>
  </si>
  <si>
    <t xml:space="preserve">13.10</t>
  </si>
  <si>
    <t xml:space="preserve">Desarmamento e não proliferação</t>
  </si>
  <si>
    <t xml:space="preserve">13.11</t>
  </si>
  <si>
    <t xml:space="preserve">Crimes de guerra e contra a humanidade: genocídio, holocausto, TPI</t>
  </si>
  <si>
    <t xml:space="preserve">13.12</t>
  </si>
  <si>
    <t xml:space="preserve">Terrorismo</t>
  </si>
  <si>
    <t xml:space="preserve">13.13</t>
  </si>
  <si>
    <t xml:space="preserve">Narcotráfico, crime transnacional e crimes cibernéticos globais</t>
  </si>
  <si>
    <t xml:space="preserve">13.14</t>
  </si>
  <si>
    <t xml:space="preserve">Reforma das Nações Unidas</t>
  </si>
  <si>
    <t xml:space="preserve">13.15</t>
  </si>
  <si>
    <t xml:space="preserve">Operações de paz das Nações Unidas</t>
  </si>
  <si>
    <t xml:space="preserve">14</t>
  </si>
  <si>
    <t xml:space="preserve">O Brasil e o sistema interamericano</t>
  </si>
  <si>
    <t xml:space="preserve">14.1</t>
  </si>
  <si>
    <t xml:space="preserve">A Organização dos Estados Americanos</t>
  </si>
  <si>
    <t xml:space="preserve">15</t>
  </si>
  <si>
    <t xml:space="preserve">Brasil e blocos econômicos, acordos comerciais e promoção comercial</t>
  </si>
  <si>
    <t xml:space="preserve">16</t>
  </si>
  <si>
    <t xml:space="preserve">A dimensão da segurança na política exterior do Brasil</t>
  </si>
  <si>
    <t xml:space="preserve">17</t>
  </si>
  <si>
    <t xml:space="preserve">Brasil e coalizões internacionais: G-20, IBAS e BRICS</t>
  </si>
  <si>
    <t xml:space="preserve">18</t>
  </si>
  <si>
    <t xml:space="preserve">O Brasil e a cooperação Sul-Sul</t>
  </si>
  <si>
    <t xml:space="preserve">19</t>
  </si>
  <si>
    <t xml:space="preserve">Cooperação e diplomacia da saúde</t>
  </si>
  <si>
    <t xml:space="preserve">GEOGRAFIA (1ª e 2ª Fases)</t>
  </si>
  <si>
    <t xml:space="preserve">História da Geografia</t>
  </si>
  <si>
    <t xml:space="preserve">Expansão colonial e pensamento geográfico</t>
  </si>
  <si>
    <t xml:space="preserve">A Geografia moderna e a questão nacional na Europa</t>
  </si>
  <si>
    <t xml:space="preserve">As principais correntes teóricas da Geografia</t>
  </si>
  <si>
    <t xml:space="preserve">A Geografia da população</t>
  </si>
  <si>
    <t xml:space="preserve">Distribuição espacial da população no Brasil e no mundo</t>
  </si>
  <si>
    <t xml:space="preserve">Os grandes movimentos migratórios internacionais e intranacionais</t>
  </si>
  <si>
    <t xml:space="preserve">Dinâmica populacional e indicadores de qualidade de vida</t>
  </si>
  <si>
    <t xml:space="preserve">Geografia econômica</t>
  </si>
  <si>
    <t xml:space="preserve">Globalização e divisão internacional do trabalho</t>
  </si>
  <si>
    <t xml:space="preserve">Formação e estrutura dos blocos econômicos internacionais</t>
  </si>
  <si>
    <t xml:space="preserve">Energia, logística e reordenamento territorial pós-fordista</t>
  </si>
  <si>
    <t xml:space="preserve">Disparidades regionais e planejamento no Brasil</t>
  </si>
  <si>
    <t xml:space="preserve">Geografia Agrária</t>
  </si>
  <si>
    <t xml:space="preserve">Distribuição geográfica da agricultura e pecuária mundiais</t>
  </si>
  <si>
    <t xml:space="preserve">Estruturação e funcionamento do agronegócio no Brasil e no mundo</t>
  </si>
  <si>
    <t xml:space="preserve">Estrutura fundiária, uso da terra e relações de produção no campo brasileiro</t>
  </si>
  <si>
    <t xml:space="preserve">Geografia Urbana</t>
  </si>
  <si>
    <t xml:space="preserve">Processo de urbanização e formação de redes de cidades</t>
  </si>
  <si>
    <t xml:space="preserve">Conurbação, metropolização e cidades-mundiais</t>
  </si>
  <si>
    <t xml:space="preserve">Dinâmica intraurbana das metrópoles brasileiras</t>
  </si>
  <si>
    <t xml:space="preserve">O papel das cidades médias na modernização do Brasil</t>
  </si>
  <si>
    <t xml:space="preserve">Geografia política</t>
  </si>
  <si>
    <t xml:space="preserve">Teorias geopolíticas e poder mundial</t>
  </si>
  <si>
    <t xml:space="preserve">Temas clássicos: fronteiras e formas de apropriação política do espaço</t>
  </si>
  <si>
    <t xml:space="preserve">Relações Estado e território</t>
  </si>
  <si>
    <t xml:space="preserve">Geografia e gestão ambiental</t>
  </si>
  <si>
    <t xml:space="preserve">O meio ambiente nas relações internacionais: questões conceituais e institucionais</t>
  </si>
  <si>
    <t xml:space="preserve">Macrodivisão natural do espaço brasileiro: biomas, domínios e ecossistemas</t>
  </si>
  <si>
    <t xml:space="preserve">Política e gestão ambiental no Brasil</t>
  </si>
  <si>
    <t xml:space="preserve">ECONOMIA (1ª e 2ª Fases)</t>
  </si>
  <si>
    <t xml:space="preserve">MICROECONOMIA</t>
  </si>
  <si>
    <t xml:space="preserve">Demanda do Consumidor</t>
  </si>
  <si>
    <t xml:space="preserve">1.1.1</t>
  </si>
  <si>
    <t xml:space="preserve">Preferências</t>
  </si>
  <si>
    <t xml:space="preserve">1.1.2</t>
  </si>
  <si>
    <t xml:space="preserve">Equilíbrio do consumidor</t>
  </si>
  <si>
    <t xml:space="preserve">1.1.3</t>
  </si>
  <si>
    <t xml:space="preserve">Curva de demanda</t>
  </si>
  <si>
    <t xml:space="preserve">1.1.4</t>
  </si>
  <si>
    <t xml:space="preserve">Elasticidade-preço e elasticidade-renda</t>
  </si>
  <si>
    <t xml:space="preserve">Oferta do Produtor</t>
  </si>
  <si>
    <t xml:space="preserve">1.2.1</t>
  </si>
  <si>
    <t xml:space="preserve">Fatores de produção</t>
  </si>
  <si>
    <t xml:space="preserve">1.2.2</t>
  </si>
  <si>
    <t xml:space="preserve">Função de produção</t>
  </si>
  <si>
    <t xml:space="preserve">1.2.3</t>
  </si>
  <si>
    <t xml:space="preserve">Elasticidade-preço da oferta</t>
  </si>
  <si>
    <t xml:space="preserve">Tipos de Mercados e de bens</t>
  </si>
  <si>
    <t xml:space="preserve">1.3.1</t>
  </si>
  <si>
    <t xml:space="preserve">Concorrência perfeita, monopólio e oligopólio</t>
  </si>
  <si>
    <t xml:space="preserve">1.3.2</t>
  </si>
  <si>
    <t xml:space="preserve">Determinação de preços e quantidades de equilíbrio</t>
  </si>
  <si>
    <t xml:space="preserve">1.3.3</t>
  </si>
  <si>
    <t xml:space="preserve">Tipos de bens</t>
  </si>
  <si>
    <t xml:space="preserve">1.3.4</t>
  </si>
  <si>
    <t xml:space="preserve">Bens públicos</t>
  </si>
  <si>
    <t xml:space="preserve">1.3.5</t>
  </si>
  <si>
    <t xml:space="preserve">Bens rivais</t>
  </si>
  <si>
    <t xml:space="preserve">1.3.6</t>
  </si>
  <si>
    <t xml:space="preserve">Recursos comuns e Bens comuns</t>
  </si>
  <si>
    <t xml:space="preserve">1.3.7</t>
  </si>
  <si>
    <t xml:space="preserve">Externalidades</t>
  </si>
  <si>
    <t xml:space="preserve">MACROECONOMIA</t>
  </si>
  <si>
    <t xml:space="preserve">Contabilidade Nacional</t>
  </si>
  <si>
    <t xml:space="preserve">2.1.1</t>
  </si>
  <si>
    <t xml:space="preserve">Os conceitos de renda e produto</t>
  </si>
  <si>
    <t xml:space="preserve">2.1.2</t>
  </si>
  <si>
    <t xml:space="preserve">Teorias clássica e keynesiana de determinação da renda</t>
  </si>
  <si>
    <t xml:space="preserve">2.1.3</t>
  </si>
  <si>
    <t xml:space="preserve">Oferta e demanda agregadas</t>
  </si>
  <si>
    <t xml:space="preserve">2.1.4</t>
  </si>
  <si>
    <t xml:space="preserve">Agregados macroeconômicos: identidades básicas das contas nacionais</t>
  </si>
  <si>
    <t xml:space="preserve">Contas externas</t>
  </si>
  <si>
    <t xml:space="preserve">2.2.1</t>
  </si>
  <si>
    <t xml:space="preserve">Conceitos de déficit e superávit nas contas externas</t>
  </si>
  <si>
    <t xml:space="preserve">2.2.2</t>
  </si>
  <si>
    <t xml:space="preserve">Balanço de pagamentos: transações correntes, conta de capital e financeira</t>
  </si>
  <si>
    <t xml:space="preserve">2.2.3</t>
  </si>
  <si>
    <t xml:space="preserve">Indicadores de Liquidez Externa</t>
  </si>
  <si>
    <t xml:space="preserve">2.2.4</t>
  </si>
  <si>
    <t xml:space="preserve">Indicadores de Solvência Externa</t>
  </si>
  <si>
    <t xml:space="preserve">Economia do Setor Público e Política Fiscal</t>
  </si>
  <si>
    <t xml:space="preserve">Gastos e receitas do governo</t>
  </si>
  <si>
    <t xml:space="preserve">Política orçamentária e equilíbrio orçamentário</t>
  </si>
  <si>
    <t xml:space="preserve">2.3.3</t>
  </si>
  <si>
    <t xml:space="preserve">Conceitos de superávit e déficit público</t>
  </si>
  <si>
    <t xml:space="preserve">2.3.4</t>
  </si>
  <si>
    <t xml:space="preserve">Abordagem Ricardiana da Dívida Pública</t>
  </si>
  <si>
    <t xml:space="preserve">2.3.5</t>
  </si>
  <si>
    <t xml:space="preserve">Endividamento e responsabilidade fiscal</t>
  </si>
  <si>
    <t xml:space="preserve">2.3.6</t>
  </si>
  <si>
    <t xml:space="preserve">Papel do Governo</t>
  </si>
  <si>
    <t xml:space="preserve">2.3.7</t>
  </si>
  <si>
    <t xml:space="preserve">Objetivos e instrumentos de política fiscal</t>
  </si>
  <si>
    <t xml:space="preserve">2.3.8</t>
  </si>
  <si>
    <t xml:space="preserve">Efeitos fiscais sobre a política monetária</t>
  </si>
  <si>
    <t xml:space="preserve">2.3.9</t>
  </si>
  <si>
    <t xml:space="preserve">Consumo, investimento, poupança e gasto do governo</t>
  </si>
  <si>
    <t xml:space="preserve">O modelo IS-LM-BP</t>
  </si>
  <si>
    <t xml:space="preserve">Teoria e Política monetária</t>
  </si>
  <si>
    <t xml:space="preserve">2.5.1</t>
  </si>
  <si>
    <t xml:space="preserve">Funções da moeda</t>
  </si>
  <si>
    <t xml:space="preserve">2.5.2</t>
  </si>
  <si>
    <t xml:space="preserve">Criação e distribuição de moeda</t>
  </si>
  <si>
    <t xml:space="preserve">2.5.3</t>
  </si>
  <si>
    <t xml:space="preserve">Oferta da moeda e mecanismos de controle</t>
  </si>
  <si>
    <t xml:space="preserve">2.5.4</t>
  </si>
  <si>
    <t xml:space="preserve">Procura da moeda</t>
  </si>
  <si>
    <t xml:space="preserve">2.5.5</t>
  </si>
  <si>
    <t xml:space="preserve">Tipos de Inflação</t>
  </si>
  <si>
    <t xml:space="preserve">2.5.6</t>
  </si>
  <si>
    <t xml:space="preserve">Moeda e preços no longo prazo</t>
  </si>
  <si>
    <t xml:space="preserve">2.5.7</t>
  </si>
  <si>
    <t xml:space="preserve">Teoria Quantitativa da Moeda</t>
  </si>
  <si>
    <t xml:space="preserve">Política Monetária</t>
  </si>
  <si>
    <t xml:space="preserve">2.6.1</t>
  </si>
  <si>
    <t xml:space="preserve">Papel do Banco Central</t>
  </si>
  <si>
    <t xml:space="preserve">2.6.2</t>
  </si>
  <si>
    <t xml:space="preserve">Objetivos e instrumentos de política monetária</t>
  </si>
  <si>
    <t xml:space="preserve">2.6.3</t>
  </si>
  <si>
    <t xml:space="preserve">Inflação e Taxa de Juros</t>
  </si>
  <si>
    <t xml:space="preserve">2.6.4</t>
  </si>
  <si>
    <t xml:space="preserve">Política Monetária Não Convencional</t>
  </si>
  <si>
    <t xml:space="preserve">2.6.5</t>
  </si>
  <si>
    <t xml:space="preserve">Regulação e Supervisão do Sistema bancário, financeiro e de Mercado de Capitais</t>
  </si>
  <si>
    <t xml:space="preserve">Crescimento e Desenvolvimento Econômico</t>
  </si>
  <si>
    <t xml:space="preserve">2.7.1</t>
  </si>
  <si>
    <t xml:space="preserve">Teorias de Crescimento Econômico</t>
  </si>
  <si>
    <t xml:space="preserve">2.7.2</t>
  </si>
  <si>
    <t xml:space="preserve">O papel da inovação: modelos Solow e Schumpeteriano</t>
  </si>
  <si>
    <t xml:space="preserve">2.8</t>
  </si>
  <si>
    <t xml:space="preserve">Emprego e renda</t>
  </si>
  <si>
    <t xml:space="preserve">2.8.1</t>
  </si>
  <si>
    <t xml:space="preserve">Conceito de Desemprego</t>
  </si>
  <si>
    <t xml:space="preserve">2.8.2</t>
  </si>
  <si>
    <t xml:space="preserve">Tipos de Desemprego</t>
  </si>
  <si>
    <t xml:space="preserve">2.8.3</t>
  </si>
  <si>
    <t xml:space="preserve">Determinação do nível de emprego</t>
  </si>
  <si>
    <t xml:space="preserve">2.8.4</t>
  </si>
  <si>
    <t xml:space="preserve">Indicadores do mercado de trabalho</t>
  </si>
  <si>
    <t xml:space="preserve">2.8.5</t>
  </si>
  <si>
    <t xml:space="preserve">Lei de Okun</t>
  </si>
  <si>
    <t xml:space="preserve">ECONOMIA INTERNACIONAL</t>
  </si>
  <si>
    <t xml:space="preserve">Teorias de Comércio</t>
  </si>
  <si>
    <t xml:space="preserve">3.1.1</t>
  </si>
  <si>
    <t xml:space="preserve">Teorias clássicas, Neoclássicas e contemporâneas do comércio internacional</t>
  </si>
  <si>
    <t xml:space="preserve">3.1.2</t>
  </si>
  <si>
    <t xml:space="preserve">O comércio intrafirma e intra-setorial</t>
  </si>
  <si>
    <t xml:space="preserve">3.1.3</t>
  </si>
  <si>
    <t xml:space="preserve">Economias de escala e concorrência imperfeita no comércio internacional</t>
  </si>
  <si>
    <t xml:space="preserve">3.1.4</t>
  </si>
  <si>
    <t xml:space="preserve">A crítica de Prebisch e da Cepal</t>
  </si>
  <si>
    <t xml:space="preserve">3.1.5</t>
  </si>
  <si>
    <t xml:space="preserve">Deterioração dos termos de troca</t>
  </si>
  <si>
    <t xml:space="preserve">Macroeconomia aberta</t>
  </si>
  <si>
    <t xml:space="preserve">3.2.1</t>
  </si>
  <si>
    <t xml:space="preserve">Fluxos internacionais de bens, capitais e serviços</t>
  </si>
  <si>
    <t xml:space="preserve">3.2.2</t>
  </si>
  <si>
    <t xml:space="preserve">Regimes de câmbio</t>
  </si>
  <si>
    <t xml:space="preserve">3.2.3</t>
  </si>
  <si>
    <t xml:space="preserve">Taxa de câmbio nominal e real</t>
  </si>
  <si>
    <t xml:space="preserve">3.2.4</t>
  </si>
  <si>
    <t xml:space="preserve">Determinantes da Política Cambial</t>
  </si>
  <si>
    <t xml:space="preserve">3.2.5</t>
  </si>
  <si>
    <t xml:space="preserve">A relação poupança externa-crescimento econômico</t>
  </si>
  <si>
    <t xml:space="preserve">3.2.6</t>
  </si>
  <si>
    <t xml:space="preserve">A relação câmbio-juros-inflação</t>
  </si>
  <si>
    <t xml:space="preserve">Efeitos de tarifas, quotas, subsídios e outros instrumentos de política comercial</t>
  </si>
  <si>
    <t xml:space="preserve">HISTÓRIA ECONÔMICA BRASILEIRA</t>
  </si>
  <si>
    <t xml:space="preserve">A economia brasileira no Séc. XIX</t>
  </si>
  <si>
    <t xml:space="preserve">4.1.1</t>
  </si>
  <si>
    <t xml:space="preserve">A economia cafeeira</t>
  </si>
  <si>
    <t xml:space="preserve">Primeira República</t>
  </si>
  <si>
    <t xml:space="preserve">4.2.1</t>
  </si>
  <si>
    <t xml:space="preserve">Políticas econômicas e evolução da economia brasileira</t>
  </si>
  <si>
    <t xml:space="preserve">4.2.2</t>
  </si>
  <si>
    <t xml:space="preserve">Crescimento industrial</t>
  </si>
  <si>
    <t xml:space="preserve">4.2.3</t>
  </si>
  <si>
    <t xml:space="preserve">Políticas de valorização do café</t>
  </si>
  <si>
    <t xml:space="preserve">A Industrialização Brasileira 1930-1945</t>
  </si>
  <si>
    <t xml:space="preserve">4.3.1</t>
  </si>
  <si>
    <t xml:space="preserve">Modelo de Industrialização por Substituição de Importações (ISI)</t>
  </si>
  <si>
    <t xml:space="preserve">4.3.2</t>
  </si>
  <si>
    <t xml:space="preserve">Falhas e Críticas ao Modelo de ISI</t>
  </si>
  <si>
    <t xml:space="preserve">A década de 1950</t>
  </si>
  <si>
    <t xml:space="preserve">4.4.1</t>
  </si>
  <si>
    <t xml:space="preserve">O Plano SALTE</t>
  </si>
  <si>
    <t xml:space="preserve">4.4.2</t>
  </si>
  <si>
    <t xml:space="preserve">O Plano de Metas</t>
  </si>
  <si>
    <t xml:space="preserve">4.4.3</t>
  </si>
  <si>
    <t xml:space="preserve">O pós-guerra e a Nova Fase de Industrialização</t>
  </si>
  <si>
    <t xml:space="preserve">O Período 1962-1967</t>
  </si>
  <si>
    <t xml:space="preserve">4.5.1</t>
  </si>
  <si>
    <t xml:space="preserve">A desaceleração no crescimento</t>
  </si>
  <si>
    <t xml:space="preserve">4.5.2</t>
  </si>
  <si>
    <t xml:space="preserve">O Plano Trienal de Desenvolvimento Econômico e Social</t>
  </si>
  <si>
    <t xml:space="preserve">4.5.3</t>
  </si>
  <si>
    <t xml:space="preserve">Reformas do PAEG</t>
  </si>
  <si>
    <t xml:space="preserve">4.5.4</t>
  </si>
  <si>
    <t xml:space="preserve">Importância das reformas do PAEG para retomada do crescimento em 1968</t>
  </si>
  <si>
    <t xml:space="preserve">A retomada do crescimento 1968-1973</t>
  </si>
  <si>
    <t xml:space="preserve">4.6.1</t>
  </si>
  <si>
    <t xml:space="preserve">Causas do "Milagre Econômico"</t>
  </si>
  <si>
    <t xml:space="preserve">4.6.2</t>
  </si>
  <si>
    <t xml:space="preserve">O Primeiro Plano Nacional de Desenvolvimento (I PND)</t>
  </si>
  <si>
    <t xml:space="preserve">Desaceleração econômica e o II PND</t>
  </si>
  <si>
    <t xml:space="preserve">A crise dos anos oitenta</t>
  </si>
  <si>
    <t xml:space="preserve">4.8.1</t>
  </si>
  <si>
    <t xml:space="preserve">Interrupção do financiamento externo e políticas de ajuste</t>
  </si>
  <si>
    <t xml:space="preserve">4.8.2</t>
  </si>
  <si>
    <t xml:space="preserve">Aceleração inflacionária e planos de combate à inflação</t>
  </si>
  <si>
    <t xml:space="preserve">4.8.3</t>
  </si>
  <si>
    <t xml:space="preserve">O debate sobre a natureza da inflação no Brasil</t>
  </si>
  <si>
    <t xml:space="preserve">Economia Brasileira nos anos noventa</t>
  </si>
  <si>
    <t xml:space="preserve">4.9.1</t>
  </si>
  <si>
    <t xml:space="preserve">Abertura (comercial e financeira) parcial da economia brasileira</t>
  </si>
  <si>
    <t xml:space="preserve">4.9.2</t>
  </si>
  <si>
    <t xml:space="preserve">O Plano Real</t>
  </si>
  <si>
    <t xml:space="preserve">Bancos digitais, meios de pagamento e transição do dinheiro de plástico para o dinheiro digital no séc. XXI</t>
  </si>
  <si>
    <t xml:space="preserve">DIREITO (1ª e 2ª Fases)</t>
  </si>
  <si>
    <t xml:space="preserve">Normas jurídicas</t>
  </si>
  <si>
    <t xml:space="preserve">Personalidade jurídica</t>
  </si>
  <si>
    <t xml:space="preserve">Constituição: conceito, classificações, primado, controle de constitucionalidade</t>
  </si>
  <si>
    <t xml:space="preserve">Estado: elementos, soberania, formas, divisão de competência, sistemas de governo</t>
  </si>
  <si>
    <t xml:space="preserve">Estado democrático de direito. Conceito, objetivos, divisão de poderes</t>
  </si>
  <si>
    <t xml:space="preserve">Organização e competências dos poderes no Direito Brasileiro</t>
  </si>
  <si>
    <t xml:space="preserve">Processo legislativo brasileiro</t>
  </si>
  <si>
    <t xml:space="preserve">Direitos e garantias fundamentais no ordenamento jurídico brasileiro</t>
  </si>
  <si>
    <t xml:space="preserve">Administração Pública no Brasil</t>
  </si>
  <si>
    <t xml:space="preserve">Princípios constitucionais da administração pública e dos servidores públicos</t>
  </si>
  <si>
    <t xml:space="preserve">Estrutura da Administração Pública Federal</t>
  </si>
  <si>
    <t xml:space="preserve">Atos administrativos</t>
  </si>
  <si>
    <t xml:space="preserve">Processo e procedimento administrativo</t>
  </si>
  <si>
    <t xml:space="preserve">Licitações e contratos administrativos</t>
  </si>
  <si>
    <t xml:space="preserve">Responsabilidade civil do Estado</t>
  </si>
  <si>
    <t xml:space="preserve">Direitos, deveres e responsabilidades do servidor público. Improbidade. Regime disciplinar e PAD</t>
  </si>
  <si>
    <t xml:space="preserve">Regime Jurídico dos Servidores do SEB (Lei 11.440/2006)</t>
  </si>
  <si>
    <t xml:space="preserve">Finanças públicas. Normas orçamentárias</t>
  </si>
  <si>
    <t xml:space="preserve">Direito Internacional. DIP e Direito Interno. Constituição e DI. Estados e entes federados</t>
  </si>
  <si>
    <t xml:space="preserve">Princípios que regem o Brasil nas relações internacionais (art. 4º CF)</t>
  </si>
  <si>
    <t xml:space="preserve">DIP e direito internacional privado (LINDB)</t>
  </si>
  <si>
    <t xml:space="preserve">Estado: surgimento, extinção, sucessão. Direitos e deveres. Soberania. Reconhecimento</t>
  </si>
  <si>
    <t xml:space="preserve">Território. Formação do território brasileiro</t>
  </si>
  <si>
    <t xml:space="preserve">20</t>
  </si>
  <si>
    <t xml:space="preserve">Povo. Nacionalidade. Aquisição/perda/reaquisição. Proteção no exterior. Extradição. Apatridia/polipatria. Asilo</t>
  </si>
  <si>
    <t xml:space="preserve">21</t>
  </si>
  <si>
    <t xml:space="preserve">Jurisdição. Relações diplomáticas e consulares. Imunidades. Responsabilidade internacional. Proteção diplomática</t>
  </si>
  <si>
    <t xml:space="preserve">22</t>
  </si>
  <si>
    <t xml:space="preserve">Sujeitos especiais do Direito Internacional</t>
  </si>
  <si>
    <t xml:space="preserve">23</t>
  </si>
  <si>
    <t xml:space="preserve">Fontes do DIP</t>
  </si>
  <si>
    <t xml:space="preserve">Tratados internacionais</t>
  </si>
  <si>
    <t xml:space="preserve">Costume Internacional</t>
  </si>
  <si>
    <t xml:space="preserve">Princípios Gerais</t>
  </si>
  <si>
    <t xml:space="preserve">Jurisprudência e Doutrina</t>
  </si>
  <si>
    <t xml:space="preserve">Atos Unilaterais</t>
  </si>
  <si>
    <t xml:space="preserve">Atos de Organizações Internacionais</t>
  </si>
  <si>
    <t xml:space="preserve">Analogia e Equidade</t>
  </si>
  <si>
    <t xml:space="preserve">Normas imperativas (jus cogens)</t>
  </si>
  <si>
    <t xml:space="preserve">Obrigações erga omnes</t>
  </si>
  <si>
    <t xml:space="preserve">Soft Law</t>
  </si>
  <si>
    <t xml:space="preserve">Acordos executivos</t>
  </si>
  <si>
    <t xml:space="preserve">Conflito entre fontes</t>
  </si>
  <si>
    <t xml:space="preserve">Incorporação de fontes extraconvencionais ao Direito brasileiro</t>
  </si>
  <si>
    <t xml:space="preserve">24</t>
  </si>
  <si>
    <t xml:space="preserve">Solução pacífica de controvérsias</t>
  </si>
  <si>
    <t xml:space="preserve">Prática diplomática brasileira</t>
  </si>
  <si>
    <t xml:space="preserve">Bons ofícios / Mediação / Inquérito / Conciliação</t>
  </si>
  <si>
    <t xml:space="preserve">Meios jurisdicionais / Arbitragem / Meios judiciais</t>
  </si>
  <si>
    <t xml:space="preserve">Corte Internacional de Justiça</t>
  </si>
  <si>
    <t xml:space="preserve">Outros tribunais internacionais</t>
  </si>
  <si>
    <t xml:space="preserve">25</t>
  </si>
  <si>
    <t xml:space="preserve">Organizações internacionais</t>
  </si>
  <si>
    <t xml:space="preserve">Incorporação ao direito brasileiro dos atos de OIs</t>
  </si>
  <si>
    <t xml:space="preserve">ONU e suas Agências</t>
  </si>
  <si>
    <t xml:space="preserve">OEA e Carta Democrática Interamericana</t>
  </si>
  <si>
    <t xml:space="preserve">Outras OIs regionais. Direito comparado</t>
  </si>
  <si>
    <t xml:space="preserve">26</t>
  </si>
  <si>
    <t xml:space="preserve">Direito da Integração Regional</t>
  </si>
  <si>
    <t xml:space="preserve">MERCOSUL: relação com Direito brasileiro, Solução de Controvérsias, Jurisprudência</t>
  </si>
  <si>
    <t xml:space="preserve">27</t>
  </si>
  <si>
    <t xml:space="preserve">Uso da força</t>
  </si>
  <si>
    <t xml:space="preserve">Prática diplomática brasileira / Segurança coletiva</t>
  </si>
  <si>
    <t xml:space="preserve">Uso da força e direitos humanos / Operações de paz</t>
  </si>
  <si>
    <t xml:space="preserve">Desarmamento e Não Proliferação / Controle de armas / Terrorismo</t>
  </si>
  <si>
    <t xml:space="preserve">28</t>
  </si>
  <si>
    <t xml:space="preserve">Direito internacional dos direitos humanos</t>
  </si>
  <si>
    <t xml:space="preserve">Exigibilidade / Tratados ratificados pelo Brasil / Incorporação</t>
  </si>
  <si>
    <t xml:space="preserve">Sistemas de petições / Conselho de DH / Órgãos de tratados</t>
  </si>
  <si>
    <t xml:space="preserve">Sistema Interamericano de Direitos Humanos</t>
  </si>
  <si>
    <t xml:space="preserve">29</t>
  </si>
  <si>
    <t xml:space="preserve">Conflitos armados e DI</t>
  </si>
  <si>
    <t xml:space="preserve">DIH / Direito Internacional dos Refugiados / Refúgio no direito brasileiro</t>
  </si>
  <si>
    <t xml:space="preserve">30</t>
  </si>
  <si>
    <t xml:space="preserve">Direito penal internacional</t>
  </si>
  <si>
    <t xml:space="preserve">Tribunais internacionais penais / TPI</t>
  </si>
  <si>
    <t xml:space="preserve">31</t>
  </si>
  <si>
    <t xml:space="preserve">Direito do comércio internacional</t>
  </si>
  <si>
    <t xml:space="preserve">OMC: Acordos, OSC, Jurisprudência</t>
  </si>
  <si>
    <t xml:space="preserve">32</t>
  </si>
  <si>
    <t xml:space="preserve">DI do Meio Ambiente / DI do Mar / TIDM</t>
  </si>
  <si>
    <t xml:space="preserve">33</t>
  </si>
  <si>
    <t xml:space="preserve">DI do trabalho: OIT, Convenções, recomendações e supervisão normativa</t>
  </si>
  <si>
    <t xml:space="preserve">34</t>
  </si>
  <si>
    <t xml:space="preserve">Áreas além dos limites da jurisdição exclusiva dos Estados</t>
  </si>
  <si>
    <t xml:space="preserve">35</t>
  </si>
  <si>
    <t xml:space="preserve">Cooperação Jurídica internacional: matéria penal e cível, regimes no direito brasileiro</t>
  </si>
  <si>
    <t xml:space="preserve">LÍNGUA ESPANHOLA (2ª Fase)</t>
  </si>
  <si>
    <t xml:space="preserve">Elaboração de resumo em espanhol a partir de texto em língua espanhola</t>
  </si>
  <si>
    <t xml:space="preserve">Versão português → espanhol (fidelidade, registro, correção morfossintática e lexical)</t>
  </si>
  <si>
    <t xml:space="preserve">LÍNGUA FRANCESA (2ª Fase)</t>
  </si>
  <si>
    <t xml:space="preserve">Elaboração de resumo em francês a partir de texto em língua francesa</t>
  </si>
  <si>
    <t xml:space="preserve">Versão português → francês (fidelidade, registro, correção morfossintática e lexical)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</si>
</sst>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2"/>
      <name val="Arial"/>
      <family val="0"/>
      <charset val="1"/>
    </font>
    <font>
      <sz val="9"/>
      <color rgb="FF444444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5"/>
    <col collapsed="false" customWidth="true" hidden="false" outlineLevel="0" max="4" min="4" style="0" width="12"/>
    <col collapsed="false" customWidth="true" hidden="false" outlineLevel="0" max="5" min="5" style="0" width="5"/>
    <col collapsed="false" customWidth="true" hidden="false" outlineLevel="0" max="6" min="6" style="0" width="30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2"/>
      <c r="B2" s="2"/>
      <c r="C2" s="3" t="s">
        <v>7</v>
      </c>
      <c r="D2" s="2"/>
      <c r="F2" s="4" t="s">
        <v>8</v>
      </c>
      <c r="G2" s="5" t="n">
        <f aca="false">COUNTIF(D3:D21,"x")+COUNTIF(D3:D21,"X")+COUNTIF(D3:D21,1)+COUNTIF(D3:D21,TRUE())</f>
        <v>0</v>
      </c>
      <c r="H2" s="6" t="n">
        <f aca="false">IF(19=0,0,G2/19)</f>
        <v>0</v>
      </c>
    </row>
    <row r="3" customFormat="false" ht="15" hidden="false" customHeight="false" outlineLevel="0" collapsed="false">
      <c r="A3" s="7" t="s">
        <v>9</v>
      </c>
      <c r="B3" s="7" t="s">
        <v>10</v>
      </c>
      <c r="C3" s="8" t="s">
        <v>11</v>
      </c>
      <c r="D3" s="9"/>
      <c r="F3" s="4" t="s">
        <v>12</v>
      </c>
      <c r="G3" s="5" t="n">
        <f aca="false">COUNTIF(D23:D26,"x")+COUNTIF(D23:D26,"X")+COUNTIF(D23:D26,1)+COUNTIF(D23:D26,TRUE())</f>
        <v>0</v>
      </c>
      <c r="H3" s="6" t="n">
        <f aca="false">IF(4=0,0,G3/4)</f>
        <v>0</v>
      </c>
    </row>
    <row r="4" customFormat="false" ht="15" hidden="false" customHeight="false" outlineLevel="0" collapsed="false">
      <c r="A4" s="10" t="s">
        <v>13</v>
      </c>
      <c r="B4" s="10" t="s">
        <v>14</v>
      </c>
      <c r="C4" s="11" t="s">
        <v>15</v>
      </c>
      <c r="D4" s="12"/>
      <c r="F4" s="4" t="s">
        <v>16</v>
      </c>
      <c r="G4" s="5" t="n">
        <f aca="false">COUNTIF(D28:D89,"x")+COUNTIF(D28:D89,"X")+COUNTIF(D28:D89,1)+COUNTIF(D28:D89,TRUE())</f>
        <v>0</v>
      </c>
      <c r="H4" s="6" t="n">
        <f aca="false">IF(62=0,0,G4/62)</f>
        <v>0</v>
      </c>
    </row>
    <row r="5" customFormat="false" ht="15" hidden="false" customHeight="false" outlineLevel="0" collapsed="false">
      <c r="A5" s="10" t="s">
        <v>13</v>
      </c>
      <c r="B5" s="10" t="s">
        <v>17</v>
      </c>
      <c r="C5" s="11" t="s">
        <v>18</v>
      </c>
      <c r="D5" s="12"/>
      <c r="F5" s="4" t="s">
        <v>19</v>
      </c>
      <c r="G5" s="5" t="n">
        <f aca="false">COUNTIF(D91:D157,"x")+COUNTIF(D91:D157,"X")+COUNTIF(D91:D157,1)+COUNTIF(D91:D157,TRUE())</f>
        <v>0</v>
      </c>
      <c r="H5" s="6" t="n">
        <f aca="false">IF(67=0,0,G5/67)</f>
        <v>0</v>
      </c>
    </row>
    <row r="6" customFormat="false" ht="15" hidden="false" customHeight="false" outlineLevel="0" collapsed="false">
      <c r="A6" s="10" t="s">
        <v>13</v>
      </c>
      <c r="B6" s="10" t="s">
        <v>20</v>
      </c>
      <c r="C6" s="11" t="s">
        <v>21</v>
      </c>
      <c r="D6" s="12"/>
      <c r="F6" s="4" t="s">
        <v>22</v>
      </c>
      <c r="G6" s="5" t="n">
        <f aca="false">COUNTIF(D159:D200,"x")+COUNTIF(D159:D200,"X")+COUNTIF(D159:D200,1)+COUNTIF(D159:D200,TRUE())</f>
        <v>0</v>
      </c>
      <c r="H6" s="6" t="n">
        <f aca="false">IF(42=0,0,G6/42)</f>
        <v>0</v>
      </c>
    </row>
    <row r="7" customFormat="false" ht="15" hidden="false" customHeight="false" outlineLevel="0" collapsed="false">
      <c r="A7" s="10" t="s">
        <v>13</v>
      </c>
      <c r="B7" s="10" t="s">
        <v>23</v>
      </c>
      <c r="C7" s="11" t="s">
        <v>24</v>
      </c>
      <c r="D7" s="12"/>
      <c r="F7" s="4" t="s">
        <v>25</v>
      </c>
      <c r="G7" s="5" t="n">
        <f aca="false">COUNTIF(D202:D231,"x")+COUNTIF(D202:D231,"X")+COUNTIF(D202:D231,1)+COUNTIF(D202:D231,TRUE())</f>
        <v>0</v>
      </c>
      <c r="H7" s="6" t="n">
        <f aca="false">IF(30=0,0,G7/30)</f>
        <v>0</v>
      </c>
    </row>
    <row r="8" customFormat="false" ht="15" hidden="false" customHeight="false" outlineLevel="0" collapsed="false">
      <c r="A8" s="7" t="s">
        <v>9</v>
      </c>
      <c r="B8" s="7" t="s">
        <v>26</v>
      </c>
      <c r="C8" s="8" t="s">
        <v>27</v>
      </c>
      <c r="D8" s="9"/>
      <c r="F8" s="4" t="s">
        <v>28</v>
      </c>
      <c r="G8" s="5" t="n">
        <f aca="false">COUNTIF(D233:D341,"x")+COUNTIF(D233:D341,"X")+COUNTIF(D233:D341,1)+COUNTIF(D233:D341,TRUE())</f>
        <v>0</v>
      </c>
      <c r="H8" s="6" t="n">
        <f aca="false">IF(109=0,0,G8/109)</f>
        <v>0</v>
      </c>
    </row>
    <row r="9" customFormat="false" ht="15" hidden="false" customHeight="false" outlineLevel="0" collapsed="false">
      <c r="A9" s="10" t="s">
        <v>13</v>
      </c>
      <c r="B9" s="10" t="s">
        <v>29</v>
      </c>
      <c r="C9" s="11" t="s">
        <v>30</v>
      </c>
      <c r="D9" s="12"/>
      <c r="F9" s="4" t="s">
        <v>31</v>
      </c>
      <c r="G9" s="5" t="n">
        <f aca="false">COUNTIF(D343:D413,"x")+COUNTIF(D343:D413,"X")+COUNTIF(D343:D413,1)+COUNTIF(D343:D413,TRUE())</f>
        <v>0</v>
      </c>
      <c r="H9" s="6" t="n">
        <f aca="false">IF(71=0,0,G9/71)</f>
        <v>0</v>
      </c>
    </row>
    <row r="10" customFormat="false" ht="15" hidden="false" customHeight="false" outlineLevel="0" collapsed="false">
      <c r="A10" s="10" t="s">
        <v>13</v>
      </c>
      <c r="B10" s="10" t="s">
        <v>32</v>
      </c>
      <c r="C10" s="11" t="s">
        <v>33</v>
      </c>
      <c r="D10" s="12"/>
      <c r="F10" s="4" t="s">
        <v>34</v>
      </c>
      <c r="G10" s="5" t="n">
        <f aca="false">COUNTIF(D415:D416,"x")+COUNTIF(D415:D416,"X")+COUNTIF(D415:D416,1)+COUNTIF(D415:D416,TRUE())</f>
        <v>0</v>
      </c>
      <c r="H10" s="6" t="n">
        <f aca="false">IF(2=0,0,G10/2)</f>
        <v>0</v>
      </c>
    </row>
    <row r="11" customFormat="false" ht="15" hidden="false" customHeight="false" outlineLevel="0" collapsed="false">
      <c r="A11" s="13" t="s">
        <v>35</v>
      </c>
      <c r="B11" s="13"/>
      <c r="C11" s="14" t="s">
        <v>36</v>
      </c>
      <c r="D11" s="12"/>
      <c r="F11" s="4" t="s">
        <v>37</v>
      </c>
      <c r="G11" s="5" t="n">
        <f aca="false">COUNTIF(D418:D419,"x")+COUNTIF(D418:D419,"X")+COUNTIF(D418:D419,1)+COUNTIF(D418:D419,TRUE())</f>
        <v>0</v>
      </c>
      <c r="H11" s="6" t="n">
        <f aca="false">IF(2=0,0,G11/2)</f>
        <v>0</v>
      </c>
    </row>
    <row r="12" customFormat="false" ht="15" hidden="false" customHeight="false" outlineLevel="0" collapsed="false">
      <c r="A12" s="13" t="s">
        <v>35</v>
      </c>
      <c r="B12" s="13"/>
      <c r="C12" s="14" t="s">
        <v>38</v>
      </c>
      <c r="D12" s="12"/>
      <c r="F12" s="15" t="s">
        <v>39</v>
      </c>
      <c r="G12" s="16" t="n">
        <f aca="false">SUM(G2:G11)</f>
        <v>0</v>
      </c>
      <c r="H12" s="17" t="n">
        <f aca="false">IF(408=0,0,G12/408)</f>
        <v>0</v>
      </c>
    </row>
    <row r="13" customFormat="false" ht="15" hidden="false" customHeight="false" outlineLevel="0" collapsed="false">
      <c r="A13" s="13" t="s">
        <v>35</v>
      </c>
      <c r="B13" s="13"/>
      <c r="C13" s="14" t="s">
        <v>40</v>
      </c>
      <c r="D13" s="12"/>
    </row>
    <row r="14" customFormat="false" ht="15" hidden="false" customHeight="false" outlineLevel="0" collapsed="false">
      <c r="A14" s="13" t="s">
        <v>35</v>
      </c>
      <c r="B14" s="13"/>
      <c r="C14" s="14" t="s">
        <v>41</v>
      </c>
      <c r="D14" s="12"/>
      <c r="F14" s="18" t="s">
        <v>42</v>
      </c>
    </row>
    <row r="15" customFormat="false" ht="15" hidden="false" customHeight="false" outlineLevel="0" collapsed="false">
      <c r="A15" s="13" t="s">
        <v>35</v>
      </c>
      <c r="B15" s="13"/>
      <c r="C15" s="14" t="s">
        <v>43</v>
      </c>
      <c r="D15" s="12"/>
    </row>
    <row r="16" customFormat="false" ht="15" hidden="false" customHeight="false" outlineLevel="0" collapsed="false">
      <c r="A16" s="13" t="s">
        <v>35</v>
      </c>
      <c r="B16" s="13"/>
      <c r="C16" s="14" t="s">
        <v>44</v>
      </c>
      <c r="D16" s="12"/>
    </row>
    <row r="17" customFormat="false" ht="15" hidden="false" customHeight="false" outlineLevel="0" collapsed="false">
      <c r="A17" s="13" t="s">
        <v>35</v>
      </c>
      <c r="B17" s="13"/>
      <c r="C17" s="14" t="s">
        <v>45</v>
      </c>
      <c r="D17" s="12"/>
    </row>
    <row r="18" customFormat="false" ht="15" hidden="false" customHeight="false" outlineLevel="0" collapsed="false">
      <c r="A18" s="13" t="s">
        <v>35</v>
      </c>
      <c r="B18" s="13"/>
      <c r="C18" s="14" t="s">
        <v>46</v>
      </c>
      <c r="D18" s="12"/>
    </row>
    <row r="19" customFormat="false" ht="23.85" hidden="false" customHeight="false" outlineLevel="0" collapsed="false">
      <c r="A19" s="10" t="s">
        <v>13</v>
      </c>
      <c r="B19" s="10" t="s">
        <v>47</v>
      </c>
      <c r="C19" s="11" t="s">
        <v>48</v>
      </c>
      <c r="D19" s="12"/>
    </row>
    <row r="20" customFormat="false" ht="22.35" hidden="false" customHeight="false" outlineLevel="0" collapsed="false">
      <c r="A20" s="13" t="s">
        <v>35</v>
      </c>
      <c r="B20" s="13" t="s">
        <v>49</v>
      </c>
      <c r="C20" s="14" t="s">
        <v>50</v>
      </c>
      <c r="D20" s="12"/>
    </row>
    <row r="21" customFormat="false" ht="22.35" hidden="false" customHeight="false" outlineLevel="0" collapsed="false">
      <c r="A21" s="13" t="s">
        <v>35</v>
      </c>
      <c r="B21" s="13" t="s">
        <v>51</v>
      </c>
      <c r="C21" s="14" t="s">
        <v>52</v>
      </c>
      <c r="D21" s="12"/>
    </row>
    <row r="22" customFormat="false" ht="15" hidden="false" customHeight="false" outlineLevel="0" collapsed="false">
      <c r="A22" s="2"/>
      <c r="B22" s="2"/>
      <c r="C22" s="3" t="s">
        <v>53</v>
      </c>
      <c r="D22" s="2"/>
    </row>
    <row r="23" customFormat="false" ht="15" hidden="false" customHeight="false" outlineLevel="0" collapsed="false">
      <c r="A23" s="7" t="s">
        <v>9</v>
      </c>
      <c r="B23" s="7" t="s">
        <v>54</v>
      </c>
      <c r="C23" s="8" t="s">
        <v>55</v>
      </c>
      <c r="D23" s="9"/>
    </row>
    <row r="24" customFormat="false" ht="15" hidden="false" customHeight="false" outlineLevel="0" collapsed="false">
      <c r="A24" s="7" t="s">
        <v>9</v>
      </c>
      <c r="B24" s="7" t="s">
        <v>56</v>
      </c>
      <c r="C24" s="8" t="s">
        <v>57</v>
      </c>
      <c r="D24" s="9"/>
    </row>
    <row r="25" customFormat="false" ht="23.85" hidden="false" customHeight="false" outlineLevel="0" collapsed="false">
      <c r="A25" s="7" t="s">
        <v>9</v>
      </c>
      <c r="B25" s="7" t="s">
        <v>58</v>
      </c>
      <c r="C25" s="8" t="s">
        <v>59</v>
      </c>
      <c r="D25" s="9"/>
    </row>
    <row r="26" customFormat="false" ht="15" hidden="false" customHeight="false" outlineLevel="0" collapsed="false">
      <c r="A26" s="7" t="s">
        <v>9</v>
      </c>
      <c r="B26" s="7" t="s">
        <v>60</v>
      </c>
      <c r="C26" s="8" t="s">
        <v>61</v>
      </c>
      <c r="D26" s="9"/>
    </row>
    <row r="27" customFormat="false" ht="15" hidden="false" customHeight="false" outlineLevel="0" collapsed="false">
      <c r="A27" s="2"/>
      <c r="B27" s="2"/>
      <c r="C27" s="3" t="s">
        <v>62</v>
      </c>
      <c r="D27" s="2"/>
    </row>
    <row r="28" customFormat="false" ht="15" hidden="false" customHeight="false" outlineLevel="0" collapsed="false">
      <c r="A28" s="7" t="s">
        <v>9</v>
      </c>
      <c r="B28" s="7" t="s">
        <v>10</v>
      </c>
      <c r="C28" s="8" t="s">
        <v>63</v>
      </c>
      <c r="D28" s="9"/>
    </row>
    <row r="29" customFormat="false" ht="15" hidden="false" customHeight="false" outlineLevel="0" collapsed="false">
      <c r="A29" s="10" t="s">
        <v>13</v>
      </c>
      <c r="B29" s="10" t="s">
        <v>14</v>
      </c>
      <c r="C29" s="11" t="s">
        <v>64</v>
      </c>
      <c r="D29" s="12"/>
    </row>
    <row r="30" customFormat="false" ht="15" hidden="false" customHeight="false" outlineLevel="0" collapsed="false">
      <c r="A30" s="10" t="s">
        <v>13</v>
      </c>
      <c r="B30" s="10" t="s">
        <v>17</v>
      </c>
      <c r="C30" s="11" t="s">
        <v>65</v>
      </c>
      <c r="D30" s="12"/>
    </row>
    <row r="31" customFormat="false" ht="15" hidden="false" customHeight="false" outlineLevel="0" collapsed="false">
      <c r="A31" s="7" t="s">
        <v>9</v>
      </c>
      <c r="B31" s="7" t="s">
        <v>26</v>
      </c>
      <c r="C31" s="8" t="s">
        <v>66</v>
      </c>
      <c r="D31" s="9"/>
    </row>
    <row r="32" customFormat="false" ht="15" hidden="false" customHeight="false" outlineLevel="0" collapsed="false">
      <c r="A32" s="10" t="s">
        <v>13</v>
      </c>
      <c r="B32" s="10" t="s">
        <v>29</v>
      </c>
      <c r="C32" s="11" t="s">
        <v>67</v>
      </c>
      <c r="D32" s="12"/>
    </row>
    <row r="33" customFormat="false" ht="15" hidden="false" customHeight="false" outlineLevel="0" collapsed="false">
      <c r="A33" s="10" t="s">
        <v>13</v>
      </c>
      <c r="B33" s="10" t="s">
        <v>32</v>
      </c>
      <c r="C33" s="11" t="s">
        <v>68</v>
      </c>
      <c r="D33" s="12"/>
    </row>
    <row r="34" customFormat="false" ht="15" hidden="false" customHeight="false" outlineLevel="0" collapsed="false">
      <c r="A34" s="10" t="s">
        <v>13</v>
      </c>
      <c r="B34" s="10" t="s">
        <v>47</v>
      </c>
      <c r="C34" s="11" t="s">
        <v>69</v>
      </c>
      <c r="D34" s="12"/>
    </row>
    <row r="35" customFormat="false" ht="15" hidden="false" customHeight="false" outlineLevel="0" collapsed="false">
      <c r="A35" s="10" t="s">
        <v>13</v>
      </c>
      <c r="B35" s="10" t="s">
        <v>70</v>
      </c>
      <c r="C35" s="11" t="s">
        <v>71</v>
      </c>
      <c r="D35" s="12"/>
    </row>
    <row r="36" customFormat="false" ht="15" hidden="false" customHeight="false" outlineLevel="0" collapsed="false">
      <c r="A36" s="10" t="s">
        <v>13</v>
      </c>
      <c r="B36" s="10" t="s">
        <v>72</v>
      </c>
      <c r="C36" s="11" t="s">
        <v>73</v>
      </c>
      <c r="D36" s="12"/>
    </row>
    <row r="37" customFormat="false" ht="15" hidden="false" customHeight="false" outlineLevel="0" collapsed="false">
      <c r="A37" s="7" t="s">
        <v>9</v>
      </c>
      <c r="B37" s="7" t="s">
        <v>74</v>
      </c>
      <c r="C37" s="8" t="s">
        <v>75</v>
      </c>
      <c r="D37" s="9"/>
    </row>
    <row r="38" customFormat="false" ht="15" hidden="false" customHeight="false" outlineLevel="0" collapsed="false">
      <c r="A38" s="10" t="s">
        <v>13</v>
      </c>
      <c r="B38" s="10" t="s">
        <v>76</v>
      </c>
      <c r="C38" s="11" t="s">
        <v>77</v>
      </c>
      <c r="D38" s="12"/>
    </row>
    <row r="39" customFormat="false" ht="15" hidden="false" customHeight="false" outlineLevel="0" collapsed="false">
      <c r="A39" s="10" t="s">
        <v>13</v>
      </c>
      <c r="B39" s="10" t="s">
        <v>78</v>
      </c>
      <c r="C39" s="11" t="s">
        <v>79</v>
      </c>
      <c r="D39" s="12"/>
    </row>
    <row r="40" customFormat="false" ht="15" hidden="false" customHeight="false" outlineLevel="0" collapsed="false">
      <c r="A40" s="10" t="s">
        <v>13</v>
      </c>
      <c r="B40" s="10" t="s">
        <v>80</v>
      </c>
      <c r="C40" s="11" t="s">
        <v>81</v>
      </c>
      <c r="D40" s="12"/>
    </row>
    <row r="41" customFormat="false" ht="15" hidden="false" customHeight="false" outlineLevel="0" collapsed="false">
      <c r="A41" s="7" t="s">
        <v>9</v>
      </c>
      <c r="B41" s="7" t="s">
        <v>82</v>
      </c>
      <c r="C41" s="8" t="s">
        <v>83</v>
      </c>
      <c r="D41" s="9"/>
    </row>
    <row r="42" customFormat="false" ht="15" hidden="false" customHeight="false" outlineLevel="0" collapsed="false">
      <c r="A42" s="10" t="s">
        <v>13</v>
      </c>
      <c r="B42" s="10" t="s">
        <v>84</v>
      </c>
      <c r="C42" s="11" t="s">
        <v>85</v>
      </c>
      <c r="D42" s="12"/>
    </row>
    <row r="43" customFormat="false" ht="15" hidden="false" customHeight="false" outlineLevel="0" collapsed="false">
      <c r="A43" s="10" t="s">
        <v>13</v>
      </c>
      <c r="B43" s="10" t="s">
        <v>86</v>
      </c>
      <c r="C43" s="11" t="s">
        <v>87</v>
      </c>
      <c r="D43" s="12"/>
    </row>
    <row r="44" customFormat="false" ht="15" hidden="false" customHeight="false" outlineLevel="0" collapsed="false">
      <c r="A44" s="10" t="s">
        <v>13</v>
      </c>
      <c r="B44" s="10" t="s">
        <v>88</v>
      </c>
      <c r="C44" s="11" t="s">
        <v>89</v>
      </c>
      <c r="D44" s="12"/>
    </row>
    <row r="45" customFormat="false" ht="15" hidden="false" customHeight="false" outlineLevel="0" collapsed="false">
      <c r="A45" s="7" t="s">
        <v>9</v>
      </c>
      <c r="B45" s="7" t="s">
        <v>90</v>
      </c>
      <c r="C45" s="8" t="s">
        <v>91</v>
      </c>
      <c r="D45" s="9"/>
    </row>
    <row r="46" customFormat="false" ht="23.85" hidden="false" customHeight="false" outlineLevel="0" collapsed="false">
      <c r="A46" s="10" t="s">
        <v>13</v>
      </c>
      <c r="B46" s="10" t="s">
        <v>92</v>
      </c>
      <c r="C46" s="11" t="s">
        <v>93</v>
      </c>
      <c r="D46" s="12"/>
    </row>
    <row r="47" customFormat="false" ht="23.85" hidden="false" customHeight="false" outlineLevel="0" collapsed="false">
      <c r="A47" s="10" t="s">
        <v>13</v>
      </c>
      <c r="B47" s="10" t="s">
        <v>94</v>
      </c>
      <c r="C47" s="11" t="s">
        <v>95</v>
      </c>
      <c r="D47" s="12"/>
    </row>
    <row r="48" customFormat="false" ht="15" hidden="false" customHeight="false" outlineLevel="0" collapsed="false">
      <c r="A48" s="10" t="s">
        <v>13</v>
      </c>
      <c r="B48" s="10" t="s">
        <v>96</v>
      </c>
      <c r="C48" s="11" t="s">
        <v>97</v>
      </c>
      <c r="D48" s="12"/>
    </row>
    <row r="49" customFormat="false" ht="15" hidden="false" customHeight="false" outlineLevel="0" collapsed="false">
      <c r="A49" s="10" t="s">
        <v>13</v>
      </c>
      <c r="B49" s="10" t="s">
        <v>98</v>
      </c>
      <c r="C49" s="11" t="s">
        <v>99</v>
      </c>
      <c r="D49" s="12"/>
    </row>
    <row r="50" customFormat="false" ht="15" hidden="false" customHeight="false" outlineLevel="0" collapsed="false">
      <c r="A50" s="10" t="s">
        <v>13</v>
      </c>
      <c r="B50" s="10" t="s">
        <v>100</v>
      </c>
      <c r="C50" s="11" t="s">
        <v>101</v>
      </c>
      <c r="D50" s="12"/>
    </row>
    <row r="51" customFormat="false" ht="23.85" hidden="false" customHeight="false" outlineLevel="0" collapsed="false">
      <c r="A51" s="10" t="s">
        <v>13</v>
      </c>
      <c r="B51" s="10" t="s">
        <v>102</v>
      </c>
      <c r="C51" s="11" t="s">
        <v>103</v>
      </c>
      <c r="D51" s="12"/>
    </row>
    <row r="52" customFormat="false" ht="15" hidden="false" customHeight="false" outlineLevel="0" collapsed="false">
      <c r="A52" s="7" t="s">
        <v>9</v>
      </c>
      <c r="B52" s="7" t="s">
        <v>104</v>
      </c>
      <c r="C52" s="8" t="s">
        <v>105</v>
      </c>
      <c r="D52" s="9"/>
    </row>
    <row r="53" customFormat="false" ht="15" hidden="false" customHeight="false" outlineLevel="0" collapsed="false">
      <c r="A53" s="10" t="s">
        <v>13</v>
      </c>
      <c r="B53" s="10" t="s">
        <v>106</v>
      </c>
      <c r="C53" s="11" t="s">
        <v>107</v>
      </c>
      <c r="D53" s="12"/>
    </row>
    <row r="54" customFormat="false" ht="15" hidden="false" customHeight="false" outlineLevel="0" collapsed="false">
      <c r="A54" s="10" t="s">
        <v>13</v>
      </c>
      <c r="B54" s="10" t="s">
        <v>108</v>
      </c>
      <c r="C54" s="11" t="s">
        <v>109</v>
      </c>
      <c r="D54" s="12"/>
    </row>
    <row r="55" customFormat="false" ht="23.85" hidden="false" customHeight="false" outlineLevel="0" collapsed="false">
      <c r="A55" s="10" t="s">
        <v>13</v>
      </c>
      <c r="B55" s="10" t="s">
        <v>110</v>
      </c>
      <c r="C55" s="11" t="s">
        <v>111</v>
      </c>
      <c r="D55" s="12"/>
    </row>
    <row r="56" customFormat="false" ht="15" hidden="false" customHeight="false" outlineLevel="0" collapsed="false">
      <c r="A56" s="10" t="s">
        <v>13</v>
      </c>
      <c r="B56" s="10" t="s">
        <v>112</v>
      </c>
      <c r="C56" s="11" t="s">
        <v>113</v>
      </c>
      <c r="D56" s="12"/>
    </row>
    <row r="57" customFormat="false" ht="23.85" hidden="false" customHeight="false" outlineLevel="0" collapsed="false">
      <c r="A57" s="10" t="s">
        <v>13</v>
      </c>
      <c r="B57" s="10" t="s">
        <v>114</v>
      </c>
      <c r="C57" s="11" t="s">
        <v>115</v>
      </c>
      <c r="D57" s="12"/>
    </row>
    <row r="58" customFormat="false" ht="15" hidden="false" customHeight="false" outlineLevel="0" collapsed="false">
      <c r="A58" s="10" t="s">
        <v>13</v>
      </c>
      <c r="B58" s="10" t="s">
        <v>116</v>
      </c>
      <c r="C58" s="11" t="s">
        <v>117</v>
      </c>
      <c r="D58" s="12"/>
    </row>
    <row r="59" customFormat="false" ht="15" hidden="false" customHeight="false" outlineLevel="0" collapsed="false">
      <c r="A59" s="10" t="s">
        <v>13</v>
      </c>
      <c r="B59" s="10" t="s">
        <v>118</v>
      </c>
      <c r="C59" s="11" t="s">
        <v>119</v>
      </c>
      <c r="D59" s="12"/>
    </row>
    <row r="60" customFormat="false" ht="15" hidden="false" customHeight="false" outlineLevel="0" collapsed="false">
      <c r="A60" s="10" t="s">
        <v>13</v>
      </c>
      <c r="B60" s="10" t="s">
        <v>120</v>
      </c>
      <c r="C60" s="11" t="s">
        <v>121</v>
      </c>
      <c r="D60" s="12"/>
    </row>
    <row r="61" customFormat="false" ht="15" hidden="false" customHeight="false" outlineLevel="0" collapsed="false">
      <c r="A61" s="7" t="s">
        <v>9</v>
      </c>
      <c r="B61" s="7" t="s">
        <v>122</v>
      </c>
      <c r="C61" s="8" t="s">
        <v>123</v>
      </c>
      <c r="D61" s="9"/>
    </row>
    <row r="62" customFormat="false" ht="15" hidden="false" customHeight="false" outlineLevel="0" collapsed="false">
      <c r="A62" s="10" t="s">
        <v>13</v>
      </c>
      <c r="B62" s="10" t="s">
        <v>124</v>
      </c>
      <c r="C62" s="11" t="s">
        <v>125</v>
      </c>
      <c r="D62" s="12"/>
    </row>
    <row r="63" customFormat="false" ht="15" hidden="false" customHeight="false" outlineLevel="0" collapsed="false">
      <c r="A63" s="10" t="s">
        <v>13</v>
      </c>
      <c r="B63" s="10" t="s">
        <v>126</v>
      </c>
      <c r="C63" s="11" t="s">
        <v>127</v>
      </c>
      <c r="D63" s="12"/>
    </row>
    <row r="64" customFormat="false" ht="15" hidden="false" customHeight="false" outlineLevel="0" collapsed="false">
      <c r="A64" s="10" t="s">
        <v>13</v>
      </c>
      <c r="B64" s="10" t="s">
        <v>128</v>
      </c>
      <c r="C64" s="11" t="s">
        <v>129</v>
      </c>
      <c r="D64" s="12"/>
    </row>
    <row r="65" customFormat="false" ht="15" hidden="false" customHeight="false" outlineLevel="0" collapsed="false">
      <c r="A65" s="10" t="s">
        <v>13</v>
      </c>
      <c r="B65" s="10" t="s">
        <v>130</v>
      </c>
      <c r="C65" s="11" t="s">
        <v>131</v>
      </c>
      <c r="D65" s="12"/>
    </row>
    <row r="66" customFormat="false" ht="15" hidden="false" customHeight="false" outlineLevel="0" collapsed="false">
      <c r="A66" s="10" t="s">
        <v>13</v>
      </c>
      <c r="B66" s="10" t="s">
        <v>132</v>
      </c>
      <c r="C66" s="11" t="s">
        <v>133</v>
      </c>
      <c r="D66" s="12"/>
    </row>
    <row r="67" customFormat="false" ht="15" hidden="false" customHeight="false" outlineLevel="0" collapsed="false">
      <c r="A67" s="10" t="s">
        <v>13</v>
      </c>
      <c r="B67" s="10" t="s">
        <v>134</v>
      </c>
      <c r="C67" s="11" t="s">
        <v>135</v>
      </c>
      <c r="D67" s="12"/>
    </row>
    <row r="68" customFormat="false" ht="15" hidden="false" customHeight="false" outlineLevel="0" collapsed="false">
      <c r="A68" s="7" t="s">
        <v>9</v>
      </c>
      <c r="B68" s="7" t="s">
        <v>136</v>
      </c>
      <c r="C68" s="8" t="s">
        <v>137</v>
      </c>
      <c r="D68" s="9"/>
    </row>
    <row r="69" customFormat="false" ht="15" hidden="false" customHeight="false" outlineLevel="0" collapsed="false">
      <c r="A69" s="10" t="s">
        <v>13</v>
      </c>
      <c r="B69" s="10" t="s">
        <v>138</v>
      </c>
      <c r="C69" s="11" t="s">
        <v>139</v>
      </c>
      <c r="D69" s="12"/>
    </row>
    <row r="70" customFormat="false" ht="15" hidden="false" customHeight="false" outlineLevel="0" collapsed="false">
      <c r="A70" s="10" t="s">
        <v>13</v>
      </c>
      <c r="B70" s="10" t="s">
        <v>140</v>
      </c>
      <c r="C70" s="11" t="s">
        <v>141</v>
      </c>
      <c r="D70" s="12"/>
    </row>
    <row r="71" customFormat="false" ht="23.85" hidden="false" customHeight="false" outlineLevel="0" collapsed="false">
      <c r="A71" s="10" t="s">
        <v>13</v>
      </c>
      <c r="B71" s="10" t="s">
        <v>142</v>
      </c>
      <c r="C71" s="11" t="s">
        <v>143</v>
      </c>
      <c r="D71" s="12"/>
    </row>
    <row r="72" customFormat="false" ht="15" hidden="false" customHeight="false" outlineLevel="0" collapsed="false">
      <c r="A72" s="10" t="s">
        <v>13</v>
      </c>
      <c r="B72" s="10" t="s">
        <v>144</v>
      </c>
      <c r="C72" s="11" t="s">
        <v>135</v>
      </c>
      <c r="D72" s="12"/>
    </row>
    <row r="73" customFormat="false" ht="15" hidden="false" customHeight="false" outlineLevel="0" collapsed="false">
      <c r="A73" s="7" t="s">
        <v>9</v>
      </c>
      <c r="B73" s="7" t="s">
        <v>145</v>
      </c>
      <c r="C73" s="8" t="s">
        <v>146</v>
      </c>
      <c r="D73" s="9"/>
    </row>
    <row r="74" customFormat="false" ht="15" hidden="false" customHeight="false" outlineLevel="0" collapsed="false">
      <c r="A74" s="10" t="s">
        <v>13</v>
      </c>
      <c r="B74" s="10" t="s">
        <v>147</v>
      </c>
      <c r="C74" s="11" t="s">
        <v>148</v>
      </c>
      <c r="D74" s="12"/>
    </row>
    <row r="75" customFormat="false" ht="15" hidden="false" customHeight="false" outlineLevel="0" collapsed="false">
      <c r="A75" s="10" t="s">
        <v>13</v>
      </c>
      <c r="B75" s="10" t="s">
        <v>149</v>
      </c>
      <c r="C75" s="11" t="s">
        <v>150</v>
      </c>
      <c r="D75" s="12"/>
    </row>
    <row r="76" customFormat="false" ht="15" hidden="false" customHeight="false" outlineLevel="0" collapsed="false">
      <c r="A76" s="10" t="s">
        <v>13</v>
      </c>
      <c r="B76" s="10" t="s">
        <v>151</v>
      </c>
      <c r="C76" s="11" t="s">
        <v>152</v>
      </c>
      <c r="D76" s="12"/>
    </row>
    <row r="77" customFormat="false" ht="15" hidden="false" customHeight="false" outlineLevel="0" collapsed="false">
      <c r="A77" s="10" t="s">
        <v>13</v>
      </c>
      <c r="B77" s="10" t="s">
        <v>153</v>
      </c>
      <c r="C77" s="11" t="s">
        <v>135</v>
      </c>
      <c r="D77" s="12"/>
    </row>
    <row r="78" customFormat="false" ht="15" hidden="false" customHeight="false" outlineLevel="0" collapsed="false">
      <c r="A78" s="10" t="s">
        <v>13</v>
      </c>
      <c r="B78" s="10" t="s">
        <v>154</v>
      </c>
      <c r="C78" s="11" t="s">
        <v>155</v>
      </c>
      <c r="D78" s="12"/>
    </row>
    <row r="79" customFormat="false" ht="15" hidden="false" customHeight="false" outlineLevel="0" collapsed="false">
      <c r="A79" s="7" t="s">
        <v>9</v>
      </c>
      <c r="B79" s="7" t="s">
        <v>156</v>
      </c>
      <c r="C79" s="8" t="s">
        <v>157</v>
      </c>
      <c r="D79" s="9"/>
    </row>
    <row r="80" customFormat="false" ht="15" hidden="false" customHeight="false" outlineLevel="0" collapsed="false">
      <c r="A80" s="10" t="s">
        <v>13</v>
      </c>
      <c r="B80" s="10" t="s">
        <v>158</v>
      </c>
      <c r="C80" s="11" t="s">
        <v>159</v>
      </c>
      <c r="D80" s="12"/>
    </row>
    <row r="81" customFormat="false" ht="15" hidden="false" customHeight="false" outlineLevel="0" collapsed="false">
      <c r="A81" s="10" t="s">
        <v>13</v>
      </c>
      <c r="B81" s="10" t="s">
        <v>160</v>
      </c>
      <c r="C81" s="11" t="s">
        <v>161</v>
      </c>
      <c r="D81" s="12"/>
    </row>
    <row r="82" customFormat="false" ht="15" hidden="false" customHeight="false" outlineLevel="0" collapsed="false">
      <c r="A82" s="10" t="s">
        <v>13</v>
      </c>
      <c r="B82" s="10" t="s">
        <v>162</v>
      </c>
      <c r="C82" s="11" t="s">
        <v>163</v>
      </c>
      <c r="D82" s="12"/>
    </row>
    <row r="83" customFormat="false" ht="15" hidden="false" customHeight="false" outlineLevel="0" collapsed="false">
      <c r="A83" s="10" t="s">
        <v>13</v>
      </c>
      <c r="B83" s="10" t="s">
        <v>164</v>
      </c>
      <c r="C83" s="11" t="s">
        <v>165</v>
      </c>
      <c r="D83" s="12"/>
    </row>
    <row r="84" customFormat="false" ht="15" hidden="false" customHeight="false" outlineLevel="0" collapsed="false">
      <c r="A84" s="10" t="s">
        <v>13</v>
      </c>
      <c r="B84" s="10" t="s">
        <v>166</v>
      </c>
      <c r="C84" s="11" t="s">
        <v>167</v>
      </c>
      <c r="D84" s="12"/>
    </row>
    <row r="85" customFormat="false" ht="15" hidden="false" customHeight="false" outlineLevel="0" collapsed="false">
      <c r="A85" s="10" t="s">
        <v>13</v>
      </c>
      <c r="B85" s="10" t="s">
        <v>168</v>
      </c>
      <c r="C85" s="11" t="s">
        <v>169</v>
      </c>
      <c r="D85" s="12"/>
    </row>
    <row r="86" customFormat="false" ht="15" hidden="false" customHeight="false" outlineLevel="0" collapsed="false">
      <c r="A86" s="10" t="s">
        <v>13</v>
      </c>
      <c r="B86" s="10" t="s">
        <v>170</v>
      </c>
      <c r="C86" s="11" t="s">
        <v>171</v>
      </c>
      <c r="D86" s="12"/>
    </row>
    <row r="87" customFormat="false" ht="15" hidden="false" customHeight="false" outlineLevel="0" collapsed="false">
      <c r="A87" s="10" t="s">
        <v>13</v>
      </c>
      <c r="B87" s="10" t="s">
        <v>172</v>
      </c>
      <c r="C87" s="11" t="s">
        <v>173</v>
      </c>
      <c r="D87" s="12"/>
    </row>
    <row r="88" customFormat="false" ht="15" hidden="false" customHeight="false" outlineLevel="0" collapsed="false">
      <c r="A88" s="10" t="s">
        <v>13</v>
      </c>
      <c r="B88" s="10" t="s">
        <v>174</v>
      </c>
      <c r="C88" s="11" t="s">
        <v>175</v>
      </c>
      <c r="D88" s="12"/>
    </row>
    <row r="89" customFormat="false" ht="23.85" hidden="false" customHeight="false" outlineLevel="0" collapsed="false">
      <c r="A89" s="7" t="s">
        <v>9</v>
      </c>
      <c r="B89" s="7" t="s">
        <v>176</v>
      </c>
      <c r="C89" s="8" t="s">
        <v>177</v>
      </c>
      <c r="D89" s="9"/>
    </row>
    <row r="90" customFormat="false" ht="15" hidden="false" customHeight="false" outlineLevel="0" collapsed="false">
      <c r="A90" s="2"/>
      <c r="B90" s="2"/>
      <c r="C90" s="3" t="s">
        <v>178</v>
      </c>
      <c r="D90" s="2"/>
    </row>
    <row r="91" customFormat="false" ht="15" hidden="false" customHeight="false" outlineLevel="0" collapsed="false">
      <c r="A91" s="7" t="s">
        <v>9</v>
      </c>
      <c r="B91" s="7" t="s">
        <v>10</v>
      </c>
      <c r="C91" s="8" t="s">
        <v>179</v>
      </c>
      <c r="D91" s="9"/>
    </row>
    <row r="92" customFormat="false" ht="15" hidden="false" customHeight="false" outlineLevel="0" collapsed="false">
      <c r="A92" s="10" t="s">
        <v>13</v>
      </c>
      <c r="B92" s="10" t="s">
        <v>14</v>
      </c>
      <c r="C92" s="11" t="s">
        <v>180</v>
      </c>
      <c r="D92" s="12"/>
    </row>
    <row r="93" customFormat="false" ht="15" hidden="false" customHeight="false" outlineLevel="0" collapsed="false">
      <c r="A93" s="10" t="s">
        <v>13</v>
      </c>
      <c r="B93" s="10" t="s">
        <v>17</v>
      </c>
      <c r="C93" s="11" t="s">
        <v>181</v>
      </c>
      <c r="D93" s="12"/>
    </row>
    <row r="94" customFormat="false" ht="15" hidden="false" customHeight="false" outlineLevel="0" collapsed="false">
      <c r="A94" s="10" t="s">
        <v>13</v>
      </c>
      <c r="B94" s="10" t="s">
        <v>20</v>
      </c>
      <c r="C94" s="11" t="s">
        <v>182</v>
      </c>
      <c r="D94" s="12"/>
    </row>
    <row r="95" customFormat="false" ht="15" hidden="false" customHeight="false" outlineLevel="0" collapsed="false">
      <c r="A95" s="10" t="s">
        <v>13</v>
      </c>
      <c r="B95" s="10" t="s">
        <v>23</v>
      </c>
      <c r="C95" s="11" t="s">
        <v>183</v>
      </c>
      <c r="D95" s="12"/>
    </row>
    <row r="96" customFormat="false" ht="15" hidden="false" customHeight="false" outlineLevel="0" collapsed="false">
      <c r="A96" s="10" t="s">
        <v>13</v>
      </c>
      <c r="B96" s="10" t="s">
        <v>184</v>
      </c>
      <c r="C96" s="11" t="s">
        <v>185</v>
      </c>
      <c r="D96" s="12"/>
    </row>
    <row r="97" customFormat="false" ht="15" hidden="false" customHeight="false" outlineLevel="0" collapsed="false">
      <c r="A97" s="10" t="s">
        <v>13</v>
      </c>
      <c r="B97" s="10" t="s">
        <v>186</v>
      </c>
      <c r="C97" s="11" t="s">
        <v>187</v>
      </c>
      <c r="D97" s="12"/>
    </row>
    <row r="98" customFormat="false" ht="15" hidden="false" customHeight="false" outlineLevel="0" collapsed="false">
      <c r="A98" s="10" t="s">
        <v>13</v>
      </c>
      <c r="B98" s="10" t="s">
        <v>188</v>
      </c>
      <c r="C98" s="11" t="s">
        <v>189</v>
      </c>
      <c r="D98" s="12"/>
    </row>
    <row r="99" customFormat="false" ht="15" hidden="false" customHeight="false" outlineLevel="0" collapsed="false">
      <c r="A99" s="10" t="s">
        <v>13</v>
      </c>
      <c r="B99" s="10" t="s">
        <v>190</v>
      </c>
      <c r="C99" s="11" t="s">
        <v>191</v>
      </c>
      <c r="D99" s="12"/>
    </row>
    <row r="100" customFormat="false" ht="15" hidden="false" customHeight="false" outlineLevel="0" collapsed="false">
      <c r="A100" s="7" t="s">
        <v>9</v>
      </c>
      <c r="B100" s="7" t="s">
        <v>26</v>
      </c>
      <c r="C100" s="8" t="s">
        <v>192</v>
      </c>
      <c r="D100" s="9"/>
    </row>
    <row r="101" customFormat="false" ht="15" hidden="false" customHeight="false" outlineLevel="0" collapsed="false">
      <c r="A101" s="10" t="s">
        <v>13</v>
      </c>
      <c r="B101" s="10" t="s">
        <v>29</v>
      </c>
      <c r="C101" s="11" t="s">
        <v>193</v>
      </c>
      <c r="D101" s="12"/>
    </row>
    <row r="102" customFormat="false" ht="15" hidden="false" customHeight="false" outlineLevel="0" collapsed="false">
      <c r="A102" s="10" t="s">
        <v>13</v>
      </c>
      <c r="B102" s="10" t="s">
        <v>32</v>
      </c>
      <c r="C102" s="11" t="s">
        <v>194</v>
      </c>
      <c r="D102" s="12"/>
    </row>
    <row r="103" customFormat="false" ht="15" hidden="false" customHeight="false" outlineLevel="0" collapsed="false">
      <c r="A103" s="10" t="s">
        <v>13</v>
      </c>
      <c r="B103" s="10" t="s">
        <v>47</v>
      </c>
      <c r="C103" s="11" t="s">
        <v>195</v>
      </c>
      <c r="D103" s="12"/>
    </row>
    <row r="104" customFormat="false" ht="15" hidden="false" customHeight="false" outlineLevel="0" collapsed="false">
      <c r="A104" s="10" t="s">
        <v>13</v>
      </c>
      <c r="B104" s="10" t="s">
        <v>70</v>
      </c>
      <c r="C104" s="11" t="s">
        <v>196</v>
      </c>
      <c r="D104" s="12"/>
    </row>
    <row r="105" customFormat="false" ht="15" hidden="false" customHeight="false" outlineLevel="0" collapsed="false">
      <c r="A105" s="10" t="s">
        <v>13</v>
      </c>
      <c r="B105" s="10" t="s">
        <v>72</v>
      </c>
      <c r="C105" s="11" t="s">
        <v>197</v>
      </c>
      <c r="D105" s="12"/>
    </row>
    <row r="106" customFormat="false" ht="15" hidden="false" customHeight="false" outlineLevel="0" collapsed="false">
      <c r="A106" s="10" t="s">
        <v>13</v>
      </c>
      <c r="B106" s="10" t="s">
        <v>198</v>
      </c>
      <c r="C106" s="11" t="s">
        <v>199</v>
      </c>
      <c r="D106" s="12"/>
    </row>
    <row r="107" customFormat="false" ht="15" hidden="false" customHeight="false" outlineLevel="0" collapsed="false">
      <c r="A107" s="10" t="s">
        <v>13</v>
      </c>
      <c r="B107" s="10" t="s">
        <v>200</v>
      </c>
      <c r="C107" s="11" t="s">
        <v>201</v>
      </c>
      <c r="D107" s="12"/>
    </row>
    <row r="108" customFormat="false" ht="15" hidden="false" customHeight="false" outlineLevel="0" collapsed="false">
      <c r="A108" s="7" t="s">
        <v>9</v>
      </c>
      <c r="B108" s="7" t="s">
        <v>74</v>
      </c>
      <c r="C108" s="8" t="s">
        <v>202</v>
      </c>
      <c r="D108" s="9"/>
    </row>
    <row r="109" customFormat="false" ht="15" hidden="false" customHeight="false" outlineLevel="0" collapsed="false">
      <c r="A109" s="10" t="s">
        <v>13</v>
      </c>
      <c r="B109" s="10" t="s">
        <v>76</v>
      </c>
      <c r="C109" s="11" t="s">
        <v>203</v>
      </c>
      <c r="D109" s="12"/>
    </row>
    <row r="110" customFormat="false" ht="15" hidden="false" customHeight="false" outlineLevel="0" collapsed="false">
      <c r="A110" s="10" t="s">
        <v>13</v>
      </c>
      <c r="B110" s="10" t="s">
        <v>78</v>
      </c>
      <c r="C110" s="11" t="s">
        <v>204</v>
      </c>
      <c r="D110" s="12"/>
    </row>
    <row r="111" customFormat="false" ht="15" hidden="false" customHeight="false" outlineLevel="0" collapsed="false">
      <c r="A111" s="10" t="s">
        <v>13</v>
      </c>
      <c r="B111" s="10" t="s">
        <v>80</v>
      </c>
      <c r="C111" s="11" t="s">
        <v>205</v>
      </c>
      <c r="D111" s="12"/>
    </row>
    <row r="112" customFormat="false" ht="15" hidden="false" customHeight="false" outlineLevel="0" collapsed="false">
      <c r="A112" s="10" t="s">
        <v>13</v>
      </c>
      <c r="B112" s="10" t="s">
        <v>206</v>
      </c>
      <c r="C112" s="11" t="s">
        <v>207</v>
      </c>
      <c r="D112" s="12"/>
    </row>
    <row r="113" customFormat="false" ht="15" hidden="false" customHeight="false" outlineLevel="0" collapsed="false">
      <c r="A113" s="10" t="s">
        <v>13</v>
      </c>
      <c r="B113" s="10" t="s">
        <v>208</v>
      </c>
      <c r="C113" s="11" t="s">
        <v>209</v>
      </c>
      <c r="D113" s="12"/>
    </row>
    <row r="114" customFormat="false" ht="15" hidden="false" customHeight="false" outlineLevel="0" collapsed="false">
      <c r="A114" s="10" t="s">
        <v>13</v>
      </c>
      <c r="B114" s="10" t="s">
        <v>210</v>
      </c>
      <c r="C114" s="11" t="s">
        <v>211</v>
      </c>
      <c r="D114" s="12"/>
    </row>
    <row r="115" customFormat="false" ht="15" hidden="false" customHeight="false" outlineLevel="0" collapsed="false">
      <c r="A115" s="10" t="s">
        <v>13</v>
      </c>
      <c r="B115" s="10" t="s">
        <v>212</v>
      </c>
      <c r="C115" s="11" t="s">
        <v>213</v>
      </c>
      <c r="D115" s="12"/>
    </row>
    <row r="116" customFormat="false" ht="15" hidden="false" customHeight="false" outlineLevel="0" collapsed="false">
      <c r="A116" s="10" t="s">
        <v>13</v>
      </c>
      <c r="B116" s="10" t="s">
        <v>214</v>
      </c>
      <c r="C116" s="11" t="s">
        <v>215</v>
      </c>
      <c r="D116" s="12"/>
    </row>
    <row r="117" customFormat="false" ht="15" hidden="false" customHeight="false" outlineLevel="0" collapsed="false">
      <c r="A117" s="10" t="s">
        <v>13</v>
      </c>
      <c r="B117" s="10" t="s">
        <v>216</v>
      </c>
      <c r="C117" s="11" t="s">
        <v>217</v>
      </c>
      <c r="D117" s="12"/>
    </row>
    <row r="118" customFormat="false" ht="15" hidden="false" customHeight="false" outlineLevel="0" collapsed="false">
      <c r="A118" s="10" t="s">
        <v>13</v>
      </c>
      <c r="B118" s="10" t="s">
        <v>218</v>
      </c>
      <c r="C118" s="11" t="s">
        <v>219</v>
      </c>
      <c r="D118" s="12"/>
    </row>
    <row r="119" customFormat="false" ht="15" hidden="false" customHeight="false" outlineLevel="0" collapsed="false">
      <c r="A119" s="10" t="s">
        <v>13</v>
      </c>
      <c r="B119" s="10" t="s">
        <v>220</v>
      </c>
      <c r="C119" s="11" t="s">
        <v>221</v>
      </c>
      <c r="D119" s="12"/>
    </row>
    <row r="120" customFormat="false" ht="15" hidden="false" customHeight="false" outlineLevel="0" collapsed="false">
      <c r="A120" s="10" t="s">
        <v>13</v>
      </c>
      <c r="B120" s="10" t="s">
        <v>222</v>
      </c>
      <c r="C120" s="11" t="s">
        <v>223</v>
      </c>
      <c r="D120" s="12"/>
    </row>
    <row r="121" customFormat="false" ht="15" hidden="false" customHeight="false" outlineLevel="0" collapsed="false">
      <c r="A121" s="10" t="s">
        <v>13</v>
      </c>
      <c r="B121" s="10" t="s">
        <v>224</v>
      </c>
      <c r="C121" s="11" t="s">
        <v>225</v>
      </c>
      <c r="D121" s="12"/>
    </row>
    <row r="122" customFormat="false" ht="15" hidden="false" customHeight="false" outlineLevel="0" collapsed="false">
      <c r="A122" s="10" t="s">
        <v>13</v>
      </c>
      <c r="B122" s="10" t="s">
        <v>226</v>
      </c>
      <c r="C122" s="11" t="s">
        <v>227</v>
      </c>
      <c r="D122" s="12"/>
    </row>
    <row r="123" customFormat="false" ht="15" hidden="false" customHeight="false" outlineLevel="0" collapsed="false">
      <c r="A123" s="10" t="s">
        <v>13</v>
      </c>
      <c r="B123" s="10" t="s">
        <v>228</v>
      </c>
      <c r="C123" s="11" t="s">
        <v>229</v>
      </c>
      <c r="D123" s="12"/>
    </row>
    <row r="124" customFormat="false" ht="15" hidden="false" customHeight="false" outlineLevel="0" collapsed="false">
      <c r="A124" s="10" t="s">
        <v>13</v>
      </c>
      <c r="B124" s="10" t="s">
        <v>230</v>
      </c>
      <c r="C124" s="11" t="s">
        <v>231</v>
      </c>
      <c r="D124" s="12"/>
    </row>
    <row r="125" customFormat="false" ht="15" hidden="false" customHeight="false" outlineLevel="0" collapsed="false">
      <c r="A125" s="10" t="s">
        <v>13</v>
      </c>
      <c r="B125" s="10" t="s">
        <v>232</v>
      </c>
      <c r="C125" s="11" t="s">
        <v>233</v>
      </c>
      <c r="D125" s="12"/>
    </row>
    <row r="126" customFormat="false" ht="15" hidden="false" customHeight="false" outlineLevel="0" collapsed="false">
      <c r="A126" s="7" t="s">
        <v>9</v>
      </c>
      <c r="B126" s="7" t="s">
        <v>82</v>
      </c>
      <c r="C126" s="8" t="s">
        <v>234</v>
      </c>
      <c r="D126" s="9"/>
    </row>
    <row r="127" customFormat="false" ht="15" hidden="false" customHeight="false" outlineLevel="0" collapsed="false">
      <c r="A127" s="10" t="s">
        <v>13</v>
      </c>
      <c r="B127" s="10" t="s">
        <v>84</v>
      </c>
      <c r="C127" s="11" t="s">
        <v>235</v>
      </c>
      <c r="D127" s="12"/>
    </row>
    <row r="128" customFormat="false" ht="15" hidden="false" customHeight="false" outlineLevel="0" collapsed="false">
      <c r="A128" s="10" t="s">
        <v>13</v>
      </c>
      <c r="B128" s="10" t="s">
        <v>86</v>
      </c>
      <c r="C128" s="11" t="s">
        <v>236</v>
      </c>
      <c r="D128" s="12"/>
    </row>
    <row r="129" customFormat="false" ht="15" hidden="false" customHeight="false" outlineLevel="0" collapsed="false">
      <c r="A129" s="10" t="s">
        <v>13</v>
      </c>
      <c r="B129" s="10" t="s">
        <v>88</v>
      </c>
      <c r="C129" s="11" t="s">
        <v>237</v>
      </c>
      <c r="D129" s="12"/>
    </row>
    <row r="130" customFormat="false" ht="15" hidden="false" customHeight="false" outlineLevel="0" collapsed="false">
      <c r="A130" s="10" t="s">
        <v>13</v>
      </c>
      <c r="B130" s="10" t="s">
        <v>238</v>
      </c>
      <c r="C130" s="11" t="s">
        <v>239</v>
      </c>
      <c r="D130" s="12"/>
    </row>
    <row r="131" customFormat="false" ht="15" hidden="false" customHeight="false" outlineLevel="0" collapsed="false">
      <c r="A131" s="10" t="s">
        <v>13</v>
      </c>
      <c r="B131" s="10" t="s">
        <v>240</v>
      </c>
      <c r="C131" s="11" t="s">
        <v>241</v>
      </c>
      <c r="D131" s="12"/>
    </row>
    <row r="132" customFormat="false" ht="15" hidden="false" customHeight="false" outlineLevel="0" collapsed="false">
      <c r="A132" s="10" t="s">
        <v>13</v>
      </c>
      <c r="B132" s="10" t="s">
        <v>242</v>
      </c>
      <c r="C132" s="11" t="s">
        <v>243</v>
      </c>
      <c r="D132" s="12"/>
    </row>
    <row r="133" customFormat="false" ht="15" hidden="false" customHeight="false" outlineLevel="0" collapsed="false">
      <c r="A133" s="10" t="s">
        <v>13</v>
      </c>
      <c r="B133" s="10" t="s">
        <v>244</v>
      </c>
      <c r="C133" s="11" t="s">
        <v>245</v>
      </c>
      <c r="D133" s="12"/>
    </row>
    <row r="134" customFormat="false" ht="15" hidden="false" customHeight="false" outlineLevel="0" collapsed="false">
      <c r="A134" s="10" t="s">
        <v>13</v>
      </c>
      <c r="B134" s="10" t="s">
        <v>246</v>
      </c>
      <c r="C134" s="11" t="s">
        <v>247</v>
      </c>
      <c r="D134" s="12"/>
    </row>
    <row r="135" customFormat="false" ht="15" hidden="false" customHeight="false" outlineLevel="0" collapsed="false">
      <c r="A135" s="10" t="s">
        <v>13</v>
      </c>
      <c r="B135" s="10" t="s">
        <v>248</v>
      </c>
      <c r="C135" s="11" t="s">
        <v>249</v>
      </c>
      <c r="D135" s="12"/>
    </row>
    <row r="136" customFormat="false" ht="15" hidden="false" customHeight="false" outlineLevel="0" collapsed="false">
      <c r="A136" s="7" t="s">
        <v>9</v>
      </c>
      <c r="B136" s="7" t="s">
        <v>90</v>
      </c>
      <c r="C136" s="8" t="s">
        <v>250</v>
      </c>
      <c r="D136" s="9"/>
    </row>
    <row r="137" customFormat="false" ht="15" hidden="false" customHeight="false" outlineLevel="0" collapsed="false">
      <c r="A137" s="10" t="s">
        <v>13</v>
      </c>
      <c r="B137" s="10" t="s">
        <v>92</v>
      </c>
      <c r="C137" s="11" t="s">
        <v>251</v>
      </c>
      <c r="D137" s="12"/>
    </row>
    <row r="138" customFormat="false" ht="15" hidden="false" customHeight="false" outlineLevel="0" collapsed="false">
      <c r="A138" s="10" t="s">
        <v>13</v>
      </c>
      <c r="B138" s="10" t="s">
        <v>94</v>
      </c>
      <c r="C138" s="11" t="s">
        <v>252</v>
      </c>
      <c r="D138" s="12"/>
    </row>
    <row r="139" customFormat="false" ht="15" hidden="false" customHeight="false" outlineLevel="0" collapsed="false">
      <c r="A139" s="10" t="s">
        <v>13</v>
      </c>
      <c r="B139" s="10" t="s">
        <v>96</v>
      </c>
      <c r="C139" s="11" t="s">
        <v>253</v>
      </c>
      <c r="D139" s="12"/>
    </row>
    <row r="140" customFormat="false" ht="15" hidden="false" customHeight="false" outlineLevel="0" collapsed="false">
      <c r="A140" s="10" t="s">
        <v>13</v>
      </c>
      <c r="B140" s="10" t="s">
        <v>98</v>
      </c>
      <c r="C140" s="11" t="s">
        <v>254</v>
      </c>
      <c r="D140" s="12"/>
    </row>
    <row r="141" customFormat="false" ht="15" hidden="false" customHeight="false" outlineLevel="0" collapsed="false">
      <c r="A141" s="10" t="s">
        <v>13</v>
      </c>
      <c r="B141" s="10" t="s">
        <v>100</v>
      </c>
      <c r="C141" s="11" t="s">
        <v>255</v>
      </c>
      <c r="D141" s="12"/>
    </row>
    <row r="142" customFormat="false" ht="15" hidden="false" customHeight="false" outlineLevel="0" collapsed="false">
      <c r="A142" s="10" t="s">
        <v>13</v>
      </c>
      <c r="B142" s="10" t="s">
        <v>102</v>
      </c>
      <c r="C142" s="11" t="s">
        <v>256</v>
      </c>
      <c r="D142" s="12"/>
    </row>
    <row r="143" customFormat="false" ht="15" hidden="false" customHeight="false" outlineLevel="0" collapsed="false">
      <c r="A143" s="10" t="s">
        <v>13</v>
      </c>
      <c r="B143" s="10" t="s">
        <v>257</v>
      </c>
      <c r="C143" s="11" t="s">
        <v>258</v>
      </c>
      <c r="D143" s="12"/>
    </row>
    <row r="144" customFormat="false" ht="15" hidden="false" customHeight="false" outlineLevel="0" collapsed="false">
      <c r="A144" s="7" t="s">
        <v>9</v>
      </c>
      <c r="B144" s="7" t="s">
        <v>104</v>
      </c>
      <c r="C144" s="8" t="s">
        <v>259</v>
      </c>
      <c r="D144" s="9"/>
    </row>
    <row r="145" customFormat="false" ht="15" hidden="false" customHeight="false" outlineLevel="0" collapsed="false">
      <c r="A145" s="10" t="s">
        <v>13</v>
      </c>
      <c r="B145" s="10" t="s">
        <v>106</v>
      </c>
      <c r="C145" s="11" t="s">
        <v>260</v>
      </c>
      <c r="D145" s="12"/>
    </row>
    <row r="146" customFormat="false" ht="15" hidden="false" customHeight="false" outlineLevel="0" collapsed="false">
      <c r="A146" s="10" t="s">
        <v>13</v>
      </c>
      <c r="B146" s="10" t="s">
        <v>108</v>
      </c>
      <c r="C146" s="11" t="s">
        <v>261</v>
      </c>
      <c r="D146" s="12"/>
    </row>
    <row r="147" customFormat="false" ht="15" hidden="false" customHeight="false" outlineLevel="0" collapsed="false">
      <c r="A147" s="10" t="s">
        <v>13</v>
      </c>
      <c r="B147" s="10" t="s">
        <v>110</v>
      </c>
      <c r="C147" s="11" t="s">
        <v>262</v>
      </c>
      <c r="D147" s="12"/>
    </row>
    <row r="148" customFormat="false" ht="15" hidden="false" customHeight="false" outlineLevel="0" collapsed="false">
      <c r="A148" s="10" t="s">
        <v>13</v>
      </c>
      <c r="B148" s="10" t="s">
        <v>112</v>
      </c>
      <c r="C148" s="11" t="s">
        <v>263</v>
      </c>
      <c r="D148" s="12"/>
    </row>
    <row r="149" customFormat="false" ht="15" hidden="false" customHeight="false" outlineLevel="0" collapsed="false">
      <c r="A149" s="10" t="s">
        <v>13</v>
      </c>
      <c r="B149" s="10" t="s">
        <v>114</v>
      </c>
      <c r="C149" s="11" t="s">
        <v>264</v>
      </c>
      <c r="D149" s="12"/>
    </row>
    <row r="150" customFormat="false" ht="15" hidden="false" customHeight="false" outlineLevel="0" collapsed="false">
      <c r="A150" s="10" t="s">
        <v>13</v>
      </c>
      <c r="B150" s="10" t="s">
        <v>116</v>
      </c>
      <c r="C150" s="11" t="s">
        <v>265</v>
      </c>
      <c r="D150" s="12"/>
    </row>
    <row r="151" customFormat="false" ht="15" hidden="false" customHeight="false" outlineLevel="0" collapsed="false">
      <c r="A151" s="7" t="s">
        <v>9</v>
      </c>
      <c r="B151" s="7" t="s">
        <v>122</v>
      </c>
      <c r="C151" s="8" t="s">
        <v>266</v>
      </c>
      <c r="D151" s="9"/>
    </row>
    <row r="152" customFormat="false" ht="15" hidden="false" customHeight="false" outlineLevel="0" collapsed="false">
      <c r="A152" s="10" t="s">
        <v>13</v>
      </c>
      <c r="B152" s="10" t="s">
        <v>124</v>
      </c>
      <c r="C152" s="11" t="s">
        <v>267</v>
      </c>
      <c r="D152" s="12"/>
    </row>
    <row r="153" customFormat="false" ht="15" hidden="false" customHeight="false" outlineLevel="0" collapsed="false">
      <c r="A153" s="10" t="s">
        <v>13</v>
      </c>
      <c r="B153" s="10" t="s">
        <v>126</v>
      </c>
      <c r="C153" s="11" t="s">
        <v>268</v>
      </c>
      <c r="D153" s="12"/>
    </row>
    <row r="154" customFormat="false" ht="15" hidden="false" customHeight="false" outlineLevel="0" collapsed="false">
      <c r="A154" s="10" t="s">
        <v>13</v>
      </c>
      <c r="B154" s="10" t="s">
        <v>128</v>
      </c>
      <c r="C154" s="11" t="s">
        <v>269</v>
      </c>
      <c r="D154" s="12"/>
    </row>
    <row r="155" customFormat="false" ht="15" hidden="false" customHeight="false" outlineLevel="0" collapsed="false">
      <c r="A155" s="10" t="s">
        <v>13</v>
      </c>
      <c r="B155" s="10" t="s">
        <v>130</v>
      </c>
      <c r="C155" s="11" t="s">
        <v>270</v>
      </c>
      <c r="D155" s="12"/>
    </row>
    <row r="156" customFormat="false" ht="15" hidden="false" customHeight="false" outlineLevel="0" collapsed="false">
      <c r="A156" s="10" t="s">
        <v>13</v>
      </c>
      <c r="B156" s="10" t="s">
        <v>132</v>
      </c>
      <c r="C156" s="11" t="s">
        <v>271</v>
      </c>
      <c r="D156" s="12"/>
    </row>
    <row r="157" customFormat="false" ht="23.85" hidden="false" customHeight="false" outlineLevel="0" collapsed="false">
      <c r="A157" s="7" t="s">
        <v>9</v>
      </c>
      <c r="B157" s="7" t="s">
        <v>136</v>
      </c>
      <c r="C157" s="8" t="s">
        <v>272</v>
      </c>
      <c r="D157" s="9"/>
    </row>
    <row r="158" customFormat="false" ht="15" hidden="false" customHeight="false" outlineLevel="0" collapsed="false">
      <c r="A158" s="2"/>
      <c r="B158" s="2"/>
      <c r="C158" s="3" t="s">
        <v>273</v>
      </c>
      <c r="D158" s="2"/>
    </row>
    <row r="159" customFormat="false" ht="23.85" hidden="false" customHeight="false" outlineLevel="0" collapsed="false">
      <c r="A159" s="7" t="s">
        <v>9</v>
      </c>
      <c r="B159" s="7" t="s">
        <v>10</v>
      </c>
      <c r="C159" s="8" t="s">
        <v>274</v>
      </c>
      <c r="D159" s="9"/>
    </row>
    <row r="160" customFormat="false" ht="15" hidden="false" customHeight="false" outlineLevel="0" collapsed="false">
      <c r="A160" s="7" t="s">
        <v>9</v>
      </c>
      <c r="B160" s="7" t="s">
        <v>26</v>
      </c>
      <c r="C160" s="8" t="s">
        <v>275</v>
      </c>
      <c r="D160" s="9"/>
    </row>
    <row r="161" customFormat="false" ht="15" hidden="false" customHeight="false" outlineLevel="0" collapsed="false">
      <c r="A161" s="7" t="s">
        <v>9</v>
      </c>
      <c r="B161" s="7" t="s">
        <v>74</v>
      </c>
      <c r="C161" s="8" t="s">
        <v>276</v>
      </c>
      <c r="D161" s="9"/>
    </row>
    <row r="162" customFormat="false" ht="15" hidden="false" customHeight="false" outlineLevel="0" collapsed="false">
      <c r="A162" s="10" t="s">
        <v>13</v>
      </c>
      <c r="B162" s="10" t="s">
        <v>76</v>
      </c>
      <c r="C162" s="11" t="s">
        <v>277</v>
      </c>
      <c r="D162" s="12"/>
    </row>
    <row r="163" customFormat="false" ht="15" hidden="false" customHeight="false" outlineLevel="0" collapsed="false">
      <c r="A163" s="10" t="s">
        <v>13</v>
      </c>
      <c r="B163" s="10" t="s">
        <v>78</v>
      </c>
      <c r="C163" s="11" t="s">
        <v>278</v>
      </c>
      <c r="D163" s="12"/>
    </row>
    <row r="164" customFormat="false" ht="15" hidden="false" customHeight="false" outlineLevel="0" collapsed="false">
      <c r="A164" s="10" t="s">
        <v>13</v>
      </c>
      <c r="B164" s="10" t="s">
        <v>80</v>
      </c>
      <c r="C164" s="11" t="s">
        <v>279</v>
      </c>
      <c r="D164" s="12"/>
    </row>
    <row r="165" customFormat="false" ht="15" hidden="false" customHeight="false" outlineLevel="0" collapsed="false">
      <c r="A165" s="10" t="s">
        <v>13</v>
      </c>
      <c r="B165" s="10" t="s">
        <v>206</v>
      </c>
      <c r="C165" s="11" t="s">
        <v>280</v>
      </c>
      <c r="D165" s="12"/>
    </row>
    <row r="166" customFormat="false" ht="15" hidden="false" customHeight="false" outlineLevel="0" collapsed="false">
      <c r="A166" s="7" t="s">
        <v>9</v>
      </c>
      <c r="B166" s="7" t="s">
        <v>82</v>
      </c>
      <c r="C166" s="8" t="s">
        <v>281</v>
      </c>
      <c r="D166" s="9"/>
    </row>
    <row r="167" customFormat="false" ht="15" hidden="false" customHeight="false" outlineLevel="0" collapsed="false">
      <c r="A167" s="7" t="s">
        <v>9</v>
      </c>
      <c r="B167" s="7" t="s">
        <v>90</v>
      </c>
      <c r="C167" s="8" t="s">
        <v>282</v>
      </c>
      <c r="D167" s="9"/>
    </row>
    <row r="168" customFormat="false" ht="15" hidden="false" customHeight="false" outlineLevel="0" collapsed="false">
      <c r="A168" s="7" t="s">
        <v>9</v>
      </c>
      <c r="B168" s="7" t="s">
        <v>104</v>
      </c>
      <c r="C168" s="8" t="s">
        <v>283</v>
      </c>
      <c r="D168" s="9"/>
    </row>
    <row r="169" customFormat="false" ht="23.85" hidden="false" customHeight="false" outlineLevel="0" collapsed="false">
      <c r="A169" s="7" t="s">
        <v>9</v>
      </c>
      <c r="B169" s="7" t="s">
        <v>122</v>
      </c>
      <c r="C169" s="8" t="s">
        <v>284</v>
      </c>
      <c r="D169" s="9"/>
    </row>
    <row r="170" customFormat="false" ht="15" hidden="false" customHeight="false" outlineLevel="0" collapsed="false">
      <c r="A170" s="7" t="s">
        <v>9</v>
      </c>
      <c r="B170" s="7" t="s">
        <v>136</v>
      </c>
      <c r="C170" s="8" t="s">
        <v>285</v>
      </c>
      <c r="D170" s="9"/>
    </row>
    <row r="171" customFormat="false" ht="15" hidden="false" customHeight="false" outlineLevel="0" collapsed="false">
      <c r="A171" s="7" t="s">
        <v>9</v>
      </c>
      <c r="B171" s="7" t="s">
        <v>145</v>
      </c>
      <c r="C171" s="8" t="s">
        <v>286</v>
      </c>
      <c r="D171" s="9"/>
    </row>
    <row r="172" customFormat="false" ht="15" hidden="false" customHeight="false" outlineLevel="0" collapsed="false">
      <c r="A172" s="7" t="s">
        <v>9</v>
      </c>
      <c r="B172" s="7" t="s">
        <v>156</v>
      </c>
      <c r="C172" s="8" t="s">
        <v>287</v>
      </c>
      <c r="D172" s="9"/>
    </row>
    <row r="173" customFormat="false" ht="15" hidden="false" customHeight="false" outlineLevel="0" collapsed="false">
      <c r="A173" s="10" t="s">
        <v>13</v>
      </c>
      <c r="B173" s="10" t="s">
        <v>158</v>
      </c>
      <c r="C173" s="11" t="s">
        <v>288</v>
      </c>
      <c r="D173" s="12"/>
    </row>
    <row r="174" customFormat="false" ht="15" hidden="false" customHeight="false" outlineLevel="0" collapsed="false">
      <c r="A174" s="7" t="s">
        <v>9</v>
      </c>
      <c r="B174" s="7" t="s">
        <v>176</v>
      </c>
      <c r="C174" s="8" t="s">
        <v>289</v>
      </c>
      <c r="D174" s="9"/>
    </row>
    <row r="175" customFormat="false" ht="15" hidden="false" customHeight="false" outlineLevel="0" collapsed="false">
      <c r="A175" s="10" t="s">
        <v>13</v>
      </c>
      <c r="B175" s="10" t="s">
        <v>290</v>
      </c>
      <c r="C175" s="11" t="s">
        <v>291</v>
      </c>
      <c r="D175" s="12"/>
    </row>
    <row r="176" customFormat="false" ht="15" hidden="false" customHeight="false" outlineLevel="0" collapsed="false">
      <c r="A176" s="10" t="s">
        <v>13</v>
      </c>
      <c r="B176" s="10" t="s">
        <v>292</v>
      </c>
      <c r="C176" s="11" t="s">
        <v>293</v>
      </c>
      <c r="D176" s="12"/>
    </row>
    <row r="177" customFormat="false" ht="15" hidden="false" customHeight="false" outlineLevel="0" collapsed="false">
      <c r="A177" s="7" t="s">
        <v>9</v>
      </c>
      <c r="B177" s="7" t="s">
        <v>294</v>
      </c>
      <c r="C177" s="8" t="s">
        <v>295</v>
      </c>
      <c r="D177" s="9"/>
    </row>
    <row r="178" customFormat="false" ht="15" hidden="false" customHeight="false" outlineLevel="0" collapsed="false">
      <c r="A178" s="7" t="s">
        <v>9</v>
      </c>
      <c r="B178" s="7" t="s">
        <v>296</v>
      </c>
      <c r="C178" s="8" t="s">
        <v>297</v>
      </c>
      <c r="D178" s="9"/>
    </row>
    <row r="179" customFormat="false" ht="15" hidden="false" customHeight="false" outlineLevel="0" collapsed="false">
      <c r="A179" s="10" t="s">
        <v>13</v>
      </c>
      <c r="B179" s="10" t="s">
        <v>298</v>
      </c>
      <c r="C179" s="11" t="s">
        <v>299</v>
      </c>
      <c r="D179" s="12"/>
    </row>
    <row r="180" customFormat="false" ht="15" hidden="false" customHeight="false" outlineLevel="0" collapsed="false">
      <c r="A180" s="10" t="s">
        <v>13</v>
      </c>
      <c r="B180" s="10" t="s">
        <v>300</v>
      </c>
      <c r="C180" s="11" t="s">
        <v>301</v>
      </c>
      <c r="D180" s="12"/>
    </row>
    <row r="181" customFormat="false" ht="15" hidden="false" customHeight="false" outlineLevel="0" collapsed="false">
      <c r="A181" s="10" t="s">
        <v>13</v>
      </c>
      <c r="B181" s="10" t="s">
        <v>302</v>
      </c>
      <c r="C181" s="11" t="s">
        <v>303</v>
      </c>
      <c r="D181" s="12"/>
    </row>
    <row r="182" customFormat="false" ht="15" hidden="false" customHeight="false" outlineLevel="0" collapsed="false">
      <c r="A182" s="10" t="s">
        <v>13</v>
      </c>
      <c r="B182" s="10" t="s">
        <v>304</v>
      </c>
      <c r="C182" s="11" t="s">
        <v>305</v>
      </c>
      <c r="D182" s="12"/>
    </row>
    <row r="183" customFormat="false" ht="15" hidden="false" customHeight="false" outlineLevel="0" collapsed="false">
      <c r="A183" s="10" t="s">
        <v>13</v>
      </c>
      <c r="B183" s="10" t="s">
        <v>306</v>
      </c>
      <c r="C183" s="11" t="s">
        <v>307</v>
      </c>
      <c r="D183" s="12"/>
    </row>
    <row r="184" customFormat="false" ht="15" hidden="false" customHeight="false" outlineLevel="0" collapsed="false">
      <c r="A184" s="10" t="s">
        <v>13</v>
      </c>
      <c r="B184" s="10" t="s">
        <v>308</v>
      </c>
      <c r="C184" s="11" t="s">
        <v>309</v>
      </c>
      <c r="D184" s="12"/>
    </row>
    <row r="185" customFormat="false" ht="15" hidden="false" customHeight="false" outlineLevel="0" collapsed="false">
      <c r="A185" s="10" t="s">
        <v>13</v>
      </c>
      <c r="B185" s="10" t="s">
        <v>310</v>
      </c>
      <c r="C185" s="11" t="s">
        <v>311</v>
      </c>
      <c r="D185" s="12"/>
    </row>
    <row r="186" customFormat="false" ht="15" hidden="false" customHeight="false" outlineLevel="0" collapsed="false">
      <c r="A186" s="10" t="s">
        <v>13</v>
      </c>
      <c r="B186" s="10" t="s">
        <v>312</v>
      </c>
      <c r="C186" s="11" t="s">
        <v>313</v>
      </c>
      <c r="D186" s="12"/>
    </row>
    <row r="187" customFormat="false" ht="15" hidden="false" customHeight="false" outlineLevel="0" collapsed="false">
      <c r="A187" s="10" t="s">
        <v>13</v>
      </c>
      <c r="B187" s="10" t="s">
        <v>314</v>
      </c>
      <c r="C187" s="11" t="s">
        <v>315</v>
      </c>
      <c r="D187" s="12"/>
    </row>
    <row r="188" customFormat="false" ht="15" hidden="false" customHeight="false" outlineLevel="0" collapsed="false">
      <c r="A188" s="10" t="s">
        <v>13</v>
      </c>
      <c r="B188" s="10" t="s">
        <v>316</v>
      </c>
      <c r="C188" s="11" t="s">
        <v>317</v>
      </c>
      <c r="D188" s="12"/>
    </row>
    <row r="189" customFormat="false" ht="15" hidden="false" customHeight="false" outlineLevel="0" collapsed="false">
      <c r="A189" s="10" t="s">
        <v>13</v>
      </c>
      <c r="B189" s="10" t="s">
        <v>318</v>
      </c>
      <c r="C189" s="11" t="s">
        <v>319</v>
      </c>
      <c r="D189" s="12"/>
    </row>
    <row r="190" customFormat="false" ht="15" hidden="false" customHeight="false" outlineLevel="0" collapsed="false">
      <c r="A190" s="10" t="s">
        <v>13</v>
      </c>
      <c r="B190" s="10" t="s">
        <v>320</v>
      </c>
      <c r="C190" s="11" t="s">
        <v>321</v>
      </c>
      <c r="D190" s="12"/>
    </row>
    <row r="191" customFormat="false" ht="15" hidden="false" customHeight="false" outlineLevel="0" collapsed="false">
      <c r="A191" s="10" t="s">
        <v>13</v>
      </c>
      <c r="B191" s="10" t="s">
        <v>322</v>
      </c>
      <c r="C191" s="11" t="s">
        <v>323</v>
      </c>
      <c r="D191" s="12"/>
    </row>
    <row r="192" customFormat="false" ht="15" hidden="false" customHeight="false" outlineLevel="0" collapsed="false">
      <c r="A192" s="10" t="s">
        <v>13</v>
      </c>
      <c r="B192" s="10" t="s">
        <v>324</v>
      </c>
      <c r="C192" s="11" t="s">
        <v>325</v>
      </c>
      <c r="D192" s="12"/>
    </row>
    <row r="193" customFormat="false" ht="15" hidden="false" customHeight="false" outlineLevel="0" collapsed="false">
      <c r="A193" s="10" t="s">
        <v>13</v>
      </c>
      <c r="B193" s="10" t="s">
        <v>326</v>
      </c>
      <c r="C193" s="11" t="s">
        <v>327</v>
      </c>
      <c r="D193" s="12"/>
    </row>
    <row r="194" customFormat="false" ht="15" hidden="false" customHeight="false" outlineLevel="0" collapsed="false">
      <c r="A194" s="7" t="s">
        <v>9</v>
      </c>
      <c r="B194" s="7" t="s">
        <v>328</v>
      </c>
      <c r="C194" s="8" t="s">
        <v>329</v>
      </c>
      <c r="D194" s="9"/>
    </row>
    <row r="195" customFormat="false" ht="15" hidden="false" customHeight="false" outlineLevel="0" collapsed="false">
      <c r="A195" s="10" t="s">
        <v>13</v>
      </c>
      <c r="B195" s="10" t="s">
        <v>330</v>
      </c>
      <c r="C195" s="11" t="s">
        <v>331</v>
      </c>
      <c r="D195" s="12"/>
    </row>
    <row r="196" customFormat="false" ht="15" hidden="false" customHeight="false" outlineLevel="0" collapsed="false">
      <c r="A196" s="7" t="s">
        <v>9</v>
      </c>
      <c r="B196" s="7" t="s">
        <v>332</v>
      </c>
      <c r="C196" s="8" t="s">
        <v>333</v>
      </c>
      <c r="D196" s="9"/>
    </row>
    <row r="197" customFormat="false" ht="15" hidden="false" customHeight="false" outlineLevel="0" collapsed="false">
      <c r="A197" s="7" t="s">
        <v>9</v>
      </c>
      <c r="B197" s="7" t="s">
        <v>334</v>
      </c>
      <c r="C197" s="8" t="s">
        <v>335</v>
      </c>
      <c r="D197" s="9"/>
    </row>
    <row r="198" customFormat="false" ht="15" hidden="false" customHeight="false" outlineLevel="0" collapsed="false">
      <c r="A198" s="7" t="s">
        <v>9</v>
      </c>
      <c r="B198" s="7" t="s">
        <v>336</v>
      </c>
      <c r="C198" s="8" t="s">
        <v>337</v>
      </c>
      <c r="D198" s="9"/>
    </row>
    <row r="199" customFormat="false" ht="15" hidden="false" customHeight="false" outlineLevel="0" collapsed="false">
      <c r="A199" s="7" t="s">
        <v>9</v>
      </c>
      <c r="B199" s="7" t="s">
        <v>338</v>
      </c>
      <c r="C199" s="8" t="s">
        <v>339</v>
      </c>
      <c r="D199" s="9"/>
    </row>
    <row r="200" customFormat="false" ht="15" hidden="false" customHeight="false" outlineLevel="0" collapsed="false">
      <c r="A200" s="7" t="s">
        <v>9</v>
      </c>
      <c r="B200" s="7" t="s">
        <v>340</v>
      </c>
      <c r="C200" s="8" t="s">
        <v>341</v>
      </c>
      <c r="D200" s="9"/>
    </row>
    <row r="201" customFormat="false" ht="15" hidden="false" customHeight="false" outlineLevel="0" collapsed="false">
      <c r="A201" s="2"/>
      <c r="B201" s="2"/>
      <c r="C201" s="3" t="s">
        <v>342</v>
      </c>
      <c r="D201" s="2"/>
    </row>
    <row r="202" customFormat="false" ht="15" hidden="false" customHeight="false" outlineLevel="0" collapsed="false">
      <c r="A202" s="7" t="s">
        <v>9</v>
      </c>
      <c r="B202" s="7" t="s">
        <v>10</v>
      </c>
      <c r="C202" s="8" t="s">
        <v>343</v>
      </c>
      <c r="D202" s="9"/>
    </row>
    <row r="203" customFormat="false" ht="15" hidden="false" customHeight="false" outlineLevel="0" collapsed="false">
      <c r="A203" s="10" t="s">
        <v>13</v>
      </c>
      <c r="B203" s="10" t="s">
        <v>14</v>
      </c>
      <c r="C203" s="11" t="s">
        <v>344</v>
      </c>
      <c r="D203" s="12"/>
    </row>
    <row r="204" customFormat="false" ht="15" hidden="false" customHeight="false" outlineLevel="0" collapsed="false">
      <c r="A204" s="10" t="s">
        <v>13</v>
      </c>
      <c r="B204" s="10" t="s">
        <v>17</v>
      </c>
      <c r="C204" s="11" t="s">
        <v>345</v>
      </c>
      <c r="D204" s="12"/>
    </row>
    <row r="205" customFormat="false" ht="15" hidden="false" customHeight="false" outlineLevel="0" collapsed="false">
      <c r="A205" s="10" t="s">
        <v>13</v>
      </c>
      <c r="B205" s="10" t="s">
        <v>20</v>
      </c>
      <c r="C205" s="11" t="s">
        <v>346</v>
      </c>
      <c r="D205" s="12"/>
    </row>
    <row r="206" customFormat="false" ht="15" hidden="false" customHeight="false" outlineLevel="0" collapsed="false">
      <c r="A206" s="7" t="s">
        <v>9</v>
      </c>
      <c r="B206" s="7" t="s">
        <v>26</v>
      </c>
      <c r="C206" s="8" t="s">
        <v>347</v>
      </c>
      <c r="D206" s="9"/>
    </row>
    <row r="207" customFormat="false" ht="15" hidden="false" customHeight="false" outlineLevel="0" collapsed="false">
      <c r="A207" s="10" t="s">
        <v>13</v>
      </c>
      <c r="B207" s="10" t="s">
        <v>29</v>
      </c>
      <c r="C207" s="11" t="s">
        <v>348</v>
      </c>
      <c r="D207" s="12"/>
    </row>
    <row r="208" customFormat="false" ht="15" hidden="false" customHeight="false" outlineLevel="0" collapsed="false">
      <c r="A208" s="10" t="s">
        <v>13</v>
      </c>
      <c r="B208" s="10" t="s">
        <v>32</v>
      </c>
      <c r="C208" s="11" t="s">
        <v>349</v>
      </c>
      <c r="D208" s="12"/>
    </row>
    <row r="209" customFormat="false" ht="15" hidden="false" customHeight="false" outlineLevel="0" collapsed="false">
      <c r="A209" s="10" t="s">
        <v>13</v>
      </c>
      <c r="B209" s="10" t="s">
        <v>47</v>
      </c>
      <c r="C209" s="11" t="s">
        <v>350</v>
      </c>
      <c r="D209" s="12"/>
    </row>
    <row r="210" customFormat="false" ht="15" hidden="false" customHeight="false" outlineLevel="0" collapsed="false">
      <c r="A210" s="7" t="s">
        <v>9</v>
      </c>
      <c r="B210" s="7" t="s">
        <v>74</v>
      </c>
      <c r="C210" s="8" t="s">
        <v>351</v>
      </c>
      <c r="D210" s="9"/>
    </row>
    <row r="211" customFormat="false" ht="15" hidden="false" customHeight="false" outlineLevel="0" collapsed="false">
      <c r="A211" s="10" t="s">
        <v>13</v>
      </c>
      <c r="B211" s="10" t="s">
        <v>76</v>
      </c>
      <c r="C211" s="11" t="s">
        <v>352</v>
      </c>
      <c r="D211" s="12"/>
    </row>
    <row r="212" customFormat="false" ht="15" hidden="false" customHeight="false" outlineLevel="0" collapsed="false">
      <c r="A212" s="10" t="s">
        <v>13</v>
      </c>
      <c r="B212" s="10" t="s">
        <v>78</v>
      </c>
      <c r="C212" s="11" t="s">
        <v>353</v>
      </c>
      <c r="D212" s="12"/>
    </row>
    <row r="213" customFormat="false" ht="15" hidden="false" customHeight="false" outlineLevel="0" collapsed="false">
      <c r="A213" s="10" t="s">
        <v>13</v>
      </c>
      <c r="B213" s="10" t="s">
        <v>80</v>
      </c>
      <c r="C213" s="11" t="s">
        <v>354</v>
      </c>
      <c r="D213" s="12"/>
    </row>
    <row r="214" customFormat="false" ht="15" hidden="false" customHeight="false" outlineLevel="0" collapsed="false">
      <c r="A214" s="10" t="s">
        <v>13</v>
      </c>
      <c r="B214" s="10" t="s">
        <v>206</v>
      </c>
      <c r="C214" s="11" t="s">
        <v>355</v>
      </c>
      <c r="D214" s="12"/>
    </row>
    <row r="215" customFormat="false" ht="15" hidden="false" customHeight="false" outlineLevel="0" collapsed="false">
      <c r="A215" s="7" t="s">
        <v>9</v>
      </c>
      <c r="B215" s="7" t="s">
        <v>82</v>
      </c>
      <c r="C215" s="8" t="s">
        <v>356</v>
      </c>
      <c r="D215" s="9"/>
    </row>
    <row r="216" customFormat="false" ht="15" hidden="false" customHeight="false" outlineLevel="0" collapsed="false">
      <c r="A216" s="10" t="s">
        <v>13</v>
      </c>
      <c r="B216" s="10" t="s">
        <v>84</v>
      </c>
      <c r="C216" s="11" t="s">
        <v>357</v>
      </c>
      <c r="D216" s="12"/>
    </row>
    <row r="217" customFormat="false" ht="15" hidden="false" customHeight="false" outlineLevel="0" collapsed="false">
      <c r="A217" s="10" t="s">
        <v>13</v>
      </c>
      <c r="B217" s="10" t="s">
        <v>86</v>
      </c>
      <c r="C217" s="11" t="s">
        <v>358</v>
      </c>
      <c r="D217" s="12"/>
    </row>
    <row r="218" customFormat="false" ht="15" hidden="false" customHeight="false" outlineLevel="0" collapsed="false">
      <c r="A218" s="10" t="s">
        <v>13</v>
      </c>
      <c r="B218" s="10" t="s">
        <v>88</v>
      </c>
      <c r="C218" s="11" t="s">
        <v>359</v>
      </c>
      <c r="D218" s="12"/>
    </row>
    <row r="219" customFormat="false" ht="15" hidden="false" customHeight="false" outlineLevel="0" collapsed="false">
      <c r="A219" s="7" t="s">
        <v>9</v>
      </c>
      <c r="B219" s="7" t="s">
        <v>90</v>
      </c>
      <c r="C219" s="8" t="s">
        <v>360</v>
      </c>
      <c r="D219" s="9"/>
    </row>
    <row r="220" customFormat="false" ht="15" hidden="false" customHeight="false" outlineLevel="0" collapsed="false">
      <c r="A220" s="10" t="s">
        <v>13</v>
      </c>
      <c r="B220" s="10" t="s">
        <v>92</v>
      </c>
      <c r="C220" s="11" t="s">
        <v>361</v>
      </c>
      <c r="D220" s="12"/>
    </row>
    <row r="221" customFormat="false" ht="15" hidden="false" customHeight="false" outlineLevel="0" collapsed="false">
      <c r="A221" s="10" t="s">
        <v>13</v>
      </c>
      <c r="B221" s="10" t="s">
        <v>94</v>
      </c>
      <c r="C221" s="11" t="s">
        <v>362</v>
      </c>
      <c r="D221" s="12"/>
    </row>
    <row r="222" customFormat="false" ht="15" hidden="false" customHeight="false" outlineLevel="0" collapsed="false">
      <c r="A222" s="10" t="s">
        <v>13</v>
      </c>
      <c r="B222" s="10" t="s">
        <v>96</v>
      </c>
      <c r="C222" s="11" t="s">
        <v>363</v>
      </c>
      <c r="D222" s="12"/>
    </row>
    <row r="223" customFormat="false" ht="15" hidden="false" customHeight="false" outlineLevel="0" collapsed="false">
      <c r="A223" s="10" t="s">
        <v>13</v>
      </c>
      <c r="B223" s="10" t="s">
        <v>98</v>
      </c>
      <c r="C223" s="11" t="s">
        <v>364</v>
      </c>
      <c r="D223" s="12"/>
    </row>
    <row r="224" customFormat="false" ht="15" hidden="false" customHeight="false" outlineLevel="0" collapsed="false">
      <c r="A224" s="7" t="s">
        <v>9</v>
      </c>
      <c r="B224" s="7" t="s">
        <v>104</v>
      </c>
      <c r="C224" s="8" t="s">
        <v>365</v>
      </c>
      <c r="D224" s="9"/>
    </row>
    <row r="225" customFormat="false" ht="15" hidden="false" customHeight="false" outlineLevel="0" collapsed="false">
      <c r="A225" s="10" t="s">
        <v>13</v>
      </c>
      <c r="B225" s="10" t="s">
        <v>106</v>
      </c>
      <c r="C225" s="11" t="s">
        <v>366</v>
      </c>
      <c r="D225" s="12"/>
    </row>
    <row r="226" customFormat="false" ht="15" hidden="false" customHeight="false" outlineLevel="0" collapsed="false">
      <c r="A226" s="10" t="s">
        <v>13</v>
      </c>
      <c r="B226" s="10" t="s">
        <v>108</v>
      </c>
      <c r="C226" s="11" t="s">
        <v>367</v>
      </c>
      <c r="D226" s="12"/>
    </row>
    <row r="227" customFormat="false" ht="15" hidden="false" customHeight="false" outlineLevel="0" collapsed="false">
      <c r="A227" s="10" t="s">
        <v>13</v>
      </c>
      <c r="B227" s="10" t="s">
        <v>110</v>
      </c>
      <c r="C227" s="11" t="s">
        <v>368</v>
      </c>
      <c r="D227" s="12"/>
    </row>
    <row r="228" customFormat="false" ht="15" hidden="false" customHeight="false" outlineLevel="0" collapsed="false">
      <c r="A228" s="7" t="s">
        <v>9</v>
      </c>
      <c r="B228" s="7" t="s">
        <v>122</v>
      </c>
      <c r="C228" s="8" t="s">
        <v>369</v>
      </c>
      <c r="D228" s="9"/>
    </row>
    <row r="229" customFormat="false" ht="15" hidden="false" customHeight="false" outlineLevel="0" collapsed="false">
      <c r="A229" s="10" t="s">
        <v>13</v>
      </c>
      <c r="B229" s="10" t="s">
        <v>124</v>
      </c>
      <c r="C229" s="11" t="s">
        <v>370</v>
      </c>
      <c r="D229" s="12"/>
    </row>
    <row r="230" customFormat="false" ht="15" hidden="false" customHeight="false" outlineLevel="0" collapsed="false">
      <c r="A230" s="10" t="s">
        <v>13</v>
      </c>
      <c r="B230" s="10" t="s">
        <v>126</v>
      </c>
      <c r="C230" s="11" t="s">
        <v>371</v>
      </c>
      <c r="D230" s="12"/>
    </row>
    <row r="231" customFormat="false" ht="15" hidden="false" customHeight="false" outlineLevel="0" collapsed="false">
      <c r="A231" s="10" t="s">
        <v>13</v>
      </c>
      <c r="B231" s="10" t="s">
        <v>128</v>
      </c>
      <c r="C231" s="11" t="s">
        <v>372</v>
      </c>
      <c r="D231" s="12"/>
    </row>
    <row r="232" customFormat="false" ht="15" hidden="false" customHeight="false" outlineLevel="0" collapsed="false">
      <c r="A232" s="2"/>
      <c r="B232" s="2"/>
      <c r="C232" s="3" t="s">
        <v>373</v>
      </c>
      <c r="D232" s="2"/>
    </row>
    <row r="233" customFormat="false" ht="15" hidden="false" customHeight="false" outlineLevel="0" collapsed="false">
      <c r="A233" s="7" t="s">
        <v>9</v>
      </c>
      <c r="B233" s="7" t="s">
        <v>10</v>
      </c>
      <c r="C233" s="8" t="s">
        <v>374</v>
      </c>
      <c r="D233" s="9"/>
    </row>
    <row r="234" customFormat="false" ht="15" hidden="false" customHeight="false" outlineLevel="0" collapsed="false">
      <c r="A234" s="10" t="s">
        <v>13</v>
      </c>
      <c r="B234" s="10" t="s">
        <v>14</v>
      </c>
      <c r="C234" s="11" t="s">
        <v>375</v>
      </c>
      <c r="D234" s="12"/>
    </row>
    <row r="235" customFormat="false" ht="15" hidden="false" customHeight="false" outlineLevel="0" collapsed="false">
      <c r="A235" s="13" t="s">
        <v>35</v>
      </c>
      <c r="B235" s="13" t="s">
        <v>376</v>
      </c>
      <c r="C235" s="14" t="s">
        <v>377</v>
      </c>
      <c r="D235" s="12"/>
    </row>
    <row r="236" customFormat="false" ht="15" hidden="false" customHeight="false" outlineLevel="0" collapsed="false">
      <c r="A236" s="13" t="s">
        <v>35</v>
      </c>
      <c r="B236" s="13" t="s">
        <v>378</v>
      </c>
      <c r="C236" s="14" t="s">
        <v>379</v>
      </c>
      <c r="D236" s="12"/>
    </row>
    <row r="237" customFormat="false" ht="15" hidden="false" customHeight="false" outlineLevel="0" collapsed="false">
      <c r="A237" s="13" t="s">
        <v>35</v>
      </c>
      <c r="B237" s="13" t="s">
        <v>380</v>
      </c>
      <c r="C237" s="14" t="s">
        <v>381</v>
      </c>
      <c r="D237" s="12"/>
    </row>
    <row r="238" customFormat="false" ht="15" hidden="false" customHeight="false" outlineLevel="0" collapsed="false">
      <c r="A238" s="13" t="s">
        <v>35</v>
      </c>
      <c r="B238" s="13" t="s">
        <v>382</v>
      </c>
      <c r="C238" s="14" t="s">
        <v>383</v>
      </c>
      <c r="D238" s="12"/>
    </row>
    <row r="239" customFormat="false" ht="15" hidden="false" customHeight="false" outlineLevel="0" collapsed="false">
      <c r="A239" s="10" t="s">
        <v>13</v>
      </c>
      <c r="B239" s="10" t="s">
        <v>17</v>
      </c>
      <c r="C239" s="11" t="s">
        <v>384</v>
      </c>
      <c r="D239" s="12"/>
    </row>
    <row r="240" customFormat="false" ht="15" hidden="false" customHeight="false" outlineLevel="0" collapsed="false">
      <c r="A240" s="13" t="s">
        <v>35</v>
      </c>
      <c r="B240" s="13" t="s">
        <v>385</v>
      </c>
      <c r="C240" s="14" t="s">
        <v>386</v>
      </c>
      <c r="D240" s="12"/>
    </row>
    <row r="241" customFormat="false" ht="15" hidden="false" customHeight="false" outlineLevel="0" collapsed="false">
      <c r="A241" s="13" t="s">
        <v>35</v>
      </c>
      <c r="B241" s="13" t="s">
        <v>387</v>
      </c>
      <c r="C241" s="14" t="s">
        <v>388</v>
      </c>
      <c r="D241" s="12"/>
    </row>
    <row r="242" customFormat="false" ht="15" hidden="false" customHeight="false" outlineLevel="0" collapsed="false">
      <c r="A242" s="13" t="s">
        <v>35</v>
      </c>
      <c r="B242" s="13" t="s">
        <v>389</v>
      </c>
      <c r="C242" s="14" t="s">
        <v>390</v>
      </c>
      <c r="D242" s="12"/>
    </row>
    <row r="243" customFormat="false" ht="15" hidden="false" customHeight="false" outlineLevel="0" collapsed="false">
      <c r="A243" s="10" t="s">
        <v>13</v>
      </c>
      <c r="B243" s="10" t="s">
        <v>20</v>
      </c>
      <c r="C243" s="11" t="s">
        <v>391</v>
      </c>
      <c r="D243" s="12"/>
    </row>
    <row r="244" customFormat="false" ht="15" hidden="false" customHeight="false" outlineLevel="0" collapsed="false">
      <c r="A244" s="13" t="s">
        <v>35</v>
      </c>
      <c r="B244" s="13" t="s">
        <v>392</v>
      </c>
      <c r="C244" s="14" t="s">
        <v>393</v>
      </c>
      <c r="D244" s="12"/>
    </row>
    <row r="245" customFormat="false" ht="15" hidden="false" customHeight="false" outlineLevel="0" collapsed="false">
      <c r="A245" s="13" t="s">
        <v>35</v>
      </c>
      <c r="B245" s="13" t="s">
        <v>394</v>
      </c>
      <c r="C245" s="14" t="s">
        <v>395</v>
      </c>
      <c r="D245" s="12"/>
    </row>
    <row r="246" customFormat="false" ht="15" hidden="false" customHeight="false" outlineLevel="0" collapsed="false">
      <c r="A246" s="13" t="s">
        <v>35</v>
      </c>
      <c r="B246" s="13" t="s">
        <v>396</v>
      </c>
      <c r="C246" s="14" t="s">
        <v>397</v>
      </c>
      <c r="D246" s="12"/>
    </row>
    <row r="247" customFormat="false" ht="15" hidden="false" customHeight="false" outlineLevel="0" collapsed="false">
      <c r="A247" s="13" t="s">
        <v>35</v>
      </c>
      <c r="B247" s="13" t="s">
        <v>398</v>
      </c>
      <c r="C247" s="14" t="s">
        <v>399</v>
      </c>
      <c r="D247" s="12"/>
    </row>
    <row r="248" customFormat="false" ht="15" hidden="false" customHeight="false" outlineLevel="0" collapsed="false">
      <c r="A248" s="13" t="s">
        <v>35</v>
      </c>
      <c r="B248" s="13" t="s">
        <v>400</v>
      </c>
      <c r="C248" s="14" t="s">
        <v>401</v>
      </c>
      <c r="D248" s="12"/>
    </row>
    <row r="249" customFormat="false" ht="15" hidden="false" customHeight="false" outlineLevel="0" collapsed="false">
      <c r="A249" s="13" t="s">
        <v>35</v>
      </c>
      <c r="B249" s="13" t="s">
        <v>402</v>
      </c>
      <c r="C249" s="14" t="s">
        <v>403</v>
      </c>
      <c r="D249" s="12"/>
    </row>
    <row r="250" customFormat="false" ht="15" hidden="false" customHeight="false" outlineLevel="0" collapsed="false">
      <c r="A250" s="13" t="s">
        <v>35</v>
      </c>
      <c r="B250" s="13" t="s">
        <v>404</v>
      </c>
      <c r="C250" s="14" t="s">
        <v>405</v>
      </c>
      <c r="D250" s="12"/>
    </row>
    <row r="251" customFormat="false" ht="15" hidden="false" customHeight="false" outlineLevel="0" collapsed="false">
      <c r="A251" s="7" t="s">
        <v>9</v>
      </c>
      <c r="B251" s="7" t="s">
        <v>26</v>
      </c>
      <c r="C251" s="8" t="s">
        <v>406</v>
      </c>
      <c r="D251" s="9"/>
    </row>
    <row r="252" customFormat="false" ht="15" hidden="false" customHeight="false" outlineLevel="0" collapsed="false">
      <c r="A252" s="10" t="s">
        <v>13</v>
      </c>
      <c r="B252" s="10" t="s">
        <v>29</v>
      </c>
      <c r="C252" s="11" t="s">
        <v>407</v>
      </c>
      <c r="D252" s="12"/>
    </row>
    <row r="253" customFormat="false" ht="15" hidden="false" customHeight="false" outlineLevel="0" collapsed="false">
      <c r="A253" s="13" t="s">
        <v>35</v>
      </c>
      <c r="B253" s="13" t="s">
        <v>408</v>
      </c>
      <c r="C253" s="14" t="s">
        <v>409</v>
      </c>
      <c r="D253" s="12"/>
    </row>
    <row r="254" customFormat="false" ht="15" hidden="false" customHeight="false" outlineLevel="0" collapsed="false">
      <c r="A254" s="13" t="s">
        <v>35</v>
      </c>
      <c r="B254" s="13" t="s">
        <v>410</v>
      </c>
      <c r="C254" s="14" t="s">
        <v>411</v>
      </c>
      <c r="D254" s="12"/>
    </row>
    <row r="255" customFormat="false" ht="15" hidden="false" customHeight="false" outlineLevel="0" collapsed="false">
      <c r="A255" s="13" t="s">
        <v>35</v>
      </c>
      <c r="B255" s="13" t="s">
        <v>412</v>
      </c>
      <c r="C255" s="14" t="s">
        <v>413</v>
      </c>
      <c r="D255" s="12"/>
    </row>
    <row r="256" customFormat="false" ht="15" hidden="false" customHeight="false" outlineLevel="0" collapsed="false">
      <c r="A256" s="13" t="s">
        <v>35</v>
      </c>
      <c r="B256" s="13" t="s">
        <v>414</v>
      </c>
      <c r="C256" s="14" t="s">
        <v>415</v>
      </c>
      <c r="D256" s="12"/>
    </row>
    <row r="257" customFormat="false" ht="15" hidden="false" customHeight="false" outlineLevel="0" collapsed="false">
      <c r="A257" s="10" t="s">
        <v>13</v>
      </c>
      <c r="B257" s="10" t="s">
        <v>32</v>
      </c>
      <c r="C257" s="11" t="s">
        <v>416</v>
      </c>
      <c r="D257" s="12"/>
    </row>
    <row r="258" customFormat="false" ht="15" hidden="false" customHeight="false" outlineLevel="0" collapsed="false">
      <c r="A258" s="13" t="s">
        <v>35</v>
      </c>
      <c r="B258" s="13" t="s">
        <v>417</v>
      </c>
      <c r="C258" s="14" t="s">
        <v>418</v>
      </c>
      <c r="D258" s="12"/>
    </row>
    <row r="259" customFormat="false" ht="15" hidden="false" customHeight="false" outlineLevel="0" collapsed="false">
      <c r="A259" s="13" t="s">
        <v>35</v>
      </c>
      <c r="B259" s="13" t="s">
        <v>419</v>
      </c>
      <c r="C259" s="14" t="s">
        <v>420</v>
      </c>
      <c r="D259" s="12"/>
    </row>
    <row r="260" customFormat="false" ht="15" hidden="false" customHeight="false" outlineLevel="0" collapsed="false">
      <c r="A260" s="13" t="s">
        <v>35</v>
      </c>
      <c r="B260" s="13" t="s">
        <v>421</v>
      </c>
      <c r="C260" s="14" t="s">
        <v>422</v>
      </c>
      <c r="D260" s="12"/>
    </row>
    <row r="261" customFormat="false" ht="15" hidden="false" customHeight="false" outlineLevel="0" collapsed="false">
      <c r="A261" s="13" t="s">
        <v>35</v>
      </c>
      <c r="B261" s="13" t="s">
        <v>423</v>
      </c>
      <c r="C261" s="14" t="s">
        <v>424</v>
      </c>
      <c r="D261" s="12"/>
    </row>
    <row r="262" customFormat="false" ht="15" hidden="false" customHeight="false" outlineLevel="0" collapsed="false">
      <c r="A262" s="10" t="s">
        <v>13</v>
      </c>
      <c r="B262" s="10" t="s">
        <v>47</v>
      </c>
      <c r="C262" s="11" t="s">
        <v>425</v>
      </c>
      <c r="D262" s="12"/>
    </row>
    <row r="263" customFormat="false" ht="15" hidden="false" customHeight="false" outlineLevel="0" collapsed="false">
      <c r="A263" s="13" t="s">
        <v>35</v>
      </c>
      <c r="B263" s="13" t="s">
        <v>49</v>
      </c>
      <c r="C263" s="14" t="s">
        <v>426</v>
      </c>
      <c r="D263" s="12"/>
    </row>
    <row r="264" customFormat="false" ht="15" hidden="false" customHeight="false" outlineLevel="0" collapsed="false">
      <c r="A264" s="13" t="s">
        <v>35</v>
      </c>
      <c r="B264" s="13" t="s">
        <v>51</v>
      </c>
      <c r="C264" s="14" t="s">
        <v>427</v>
      </c>
      <c r="D264" s="12"/>
    </row>
    <row r="265" customFormat="false" ht="15" hidden="false" customHeight="false" outlineLevel="0" collapsed="false">
      <c r="A265" s="13" t="s">
        <v>35</v>
      </c>
      <c r="B265" s="13" t="s">
        <v>428</v>
      </c>
      <c r="C265" s="14" t="s">
        <v>429</v>
      </c>
      <c r="D265" s="12"/>
    </row>
    <row r="266" customFormat="false" ht="15" hidden="false" customHeight="false" outlineLevel="0" collapsed="false">
      <c r="A266" s="13" t="s">
        <v>35</v>
      </c>
      <c r="B266" s="13" t="s">
        <v>430</v>
      </c>
      <c r="C266" s="14" t="s">
        <v>431</v>
      </c>
      <c r="D266" s="12"/>
    </row>
    <row r="267" customFormat="false" ht="15" hidden="false" customHeight="false" outlineLevel="0" collapsed="false">
      <c r="A267" s="13" t="s">
        <v>35</v>
      </c>
      <c r="B267" s="13" t="s">
        <v>432</v>
      </c>
      <c r="C267" s="14" t="s">
        <v>433</v>
      </c>
      <c r="D267" s="12"/>
    </row>
    <row r="268" customFormat="false" ht="15" hidden="false" customHeight="false" outlineLevel="0" collapsed="false">
      <c r="A268" s="13" t="s">
        <v>35</v>
      </c>
      <c r="B268" s="13" t="s">
        <v>434</v>
      </c>
      <c r="C268" s="14" t="s">
        <v>435</v>
      </c>
      <c r="D268" s="12"/>
    </row>
    <row r="269" customFormat="false" ht="15" hidden="false" customHeight="false" outlineLevel="0" collapsed="false">
      <c r="A269" s="13" t="s">
        <v>35</v>
      </c>
      <c r="B269" s="13" t="s">
        <v>436</v>
      </c>
      <c r="C269" s="14" t="s">
        <v>437</v>
      </c>
      <c r="D269" s="12"/>
    </row>
    <row r="270" customFormat="false" ht="15" hidden="false" customHeight="false" outlineLevel="0" collapsed="false">
      <c r="A270" s="13" t="s">
        <v>35</v>
      </c>
      <c r="B270" s="13" t="s">
        <v>438</v>
      </c>
      <c r="C270" s="14" t="s">
        <v>439</v>
      </c>
      <c r="D270" s="12"/>
    </row>
    <row r="271" customFormat="false" ht="15" hidden="false" customHeight="false" outlineLevel="0" collapsed="false">
      <c r="A271" s="13" t="s">
        <v>35</v>
      </c>
      <c r="B271" s="13" t="s">
        <v>440</v>
      </c>
      <c r="C271" s="14" t="s">
        <v>441</v>
      </c>
      <c r="D271" s="12"/>
    </row>
    <row r="272" customFormat="false" ht="15" hidden="false" customHeight="false" outlineLevel="0" collapsed="false">
      <c r="A272" s="10" t="s">
        <v>13</v>
      </c>
      <c r="B272" s="10" t="s">
        <v>70</v>
      </c>
      <c r="C272" s="11" t="s">
        <v>442</v>
      </c>
      <c r="D272" s="12"/>
    </row>
    <row r="273" customFormat="false" ht="15" hidden="false" customHeight="false" outlineLevel="0" collapsed="false">
      <c r="A273" s="10" t="s">
        <v>13</v>
      </c>
      <c r="B273" s="10" t="s">
        <v>72</v>
      </c>
      <c r="C273" s="11" t="s">
        <v>443</v>
      </c>
      <c r="D273" s="12"/>
    </row>
    <row r="274" customFormat="false" ht="15" hidden="false" customHeight="false" outlineLevel="0" collapsed="false">
      <c r="A274" s="13" t="s">
        <v>35</v>
      </c>
      <c r="B274" s="13" t="s">
        <v>444</v>
      </c>
      <c r="C274" s="14" t="s">
        <v>445</v>
      </c>
      <c r="D274" s="12"/>
    </row>
    <row r="275" customFormat="false" ht="15" hidden="false" customHeight="false" outlineLevel="0" collapsed="false">
      <c r="A275" s="13" t="s">
        <v>35</v>
      </c>
      <c r="B275" s="13" t="s">
        <v>446</v>
      </c>
      <c r="C275" s="14" t="s">
        <v>447</v>
      </c>
      <c r="D275" s="12"/>
    </row>
    <row r="276" customFormat="false" ht="15" hidden="false" customHeight="false" outlineLevel="0" collapsed="false">
      <c r="A276" s="13" t="s">
        <v>35</v>
      </c>
      <c r="B276" s="13" t="s">
        <v>448</v>
      </c>
      <c r="C276" s="14" t="s">
        <v>449</v>
      </c>
      <c r="D276" s="12"/>
    </row>
    <row r="277" customFormat="false" ht="15" hidden="false" customHeight="false" outlineLevel="0" collapsed="false">
      <c r="A277" s="13" t="s">
        <v>35</v>
      </c>
      <c r="B277" s="13" t="s">
        <v>450</v>
      </c>
      <c r="C277" s="14" t="s">
        <v>451</v>
      </c>
      <c r="D277" s="12"/>
    </row>
    <row r="278" customFormat="false" ht="15" hidden="false" customHeight="false" outlineLevel="0" collapsed="false">
      <c r="A278" s="13" t="s">
        <v>35</v>
      </c>
      <c r="B278" s="13" t="s">
        <v>452</v>
      </c>
      <c r="C278" s="14" t="s">
        <v>453</v>
      </c>
      <c r="D278" s="12"/>
    </row>
    <row r="279" customFormat="false" ht="15" hidden="false" customHeight="false" outlineLevel="0" collapsed="false">
      <c r="A279" s="13" t="s">
        <v>35</v>
      </c>
      <c r="B279" s="13" t="s">
        <v>454</v>
      </c>
      <c r="C279" s="14" t="s">
        <v>455</v>
      </c>
      <c r="D279" s="12"/>
    </row>
    <row r="280" customFormat="false" ht="15" hidden="false" customHeight="false" outlineLevel="0" collapsed="false">
      <c r="A280" s="13" t="s">
        <v>35</v>
      </c>
      <c r="B280" s="13" t="s">
        <v>456</v>
      </c>
      <c r="C280" s="14" t="s">
        <v>457</v>
      </c>
      <c r="D280" s="12"/>
    </row>
    <row r="281" customFormat="false" ht="15" hidden="false" customHeight="false" outlineLevel="0" collapsed="false">
      <c r="A281" s="10" t="s">
        <v>13</v>
      </c>
      <c r="B281" s="10" t="s">
        <v>198</v>
      </c>
      <c r="C281" s="11" t="s">
        <v>458</v>
      </c>
      <c r="D281" s="12"/>
    </row>
    <row r="282" customFormat="false" ht="15" hidden="false" customHeight="false" outlineLevel="0" collapsed="false">
      <c r="A282" s="13" t="s">
        <v>35</v>
      </c>
      <c r="B282" s="13" t="s">
        <v>459</v>
      </c>
      <c r="C282" s="14" t="s">
        <v>460</v>
      </c>
      <c r="D282" s="12"/>
    </row>
    <row r="283" customFormat="false" ht="15" hidden="false" customHeight="false" outlineLevel="0" collapsed="false">
      <c r="A283" s="13" t="s">
        <v>35</v>
      </c>
      <c r="B283" s="13" t="s">
        <v>461</v>
      </c>
      <c r="C283" s="14" t="s">
        <v>462</v>
      </c>
      <c r="D283" s="12"/>
    </row>
    <row r="284" customFormat="false" ht="15" hidden="false" customHeight="false" outlineLevel="0" collapsed="false">
      <c r="A284" s="13" t="s">
        <v>35</v>
      </c>
      <c r="B284" s="13" t="s">
        <v>463</v>
      </c>
      <c r="C284" s="14" t="s">
        <v>464</v>
      </c>
      <c r="D284" s="12"/>
    </row>
    <row r="285" customFormat="false" ht="15" hidden="false" customHeight="false" outlineLevel="0" collapsed="false">
      <c r="A285" s="13" t="s">
        <v>35</v>
      </c>
      <c r="B285" s="13" t="s">
        <v>465</v>
      </c>
      <c r="C285" s="14" t="s">
        <v>466</v>
      </c>
      <c r="D285" s="12"/>
    </row>
    <row r="286" customFormat="false" ht="15" hidden="false" customHeight="false" outlineLevel="0" collapsed="false">
      <c r="A286" s="13" t="s">
        <v>35</v>
      </c>
      <c r="B286" s="13" t="s">
        <v>467</v>
      </c>
      <c r="C286" s="14" t="s">
        <v>468</v>
      </c>
      <c r="D286" s="12"/>
    </row>
    <row r="287" customFormat="false" ht="15" hidden="false" customHeight="false" outlineLevel="0" collapsed="false">
      <c r="A287" s="10" t="s">
        <v>13</v>
      </c>
      <c r="B287" s="10" t="s">
        <v>200</v>
      </c>
      <c r="C287" s="11" t="s">
        <v>469</v>
      </c>
      <c r="D287" s="12"/>
    </row>
    <row r="288" customFormat="false" ht="15" hidden="false" customHeight="false" outlineLevel="0" collapsed="false">
      <c r="A288" s="13" t="s">
        <v>35</v>
      </c>
      <c r="B288" s="13" t="s">
        <v>470</v>
      </c>
      <c r="C288" s="14" t="s">
        <v>471</v>
      </c>
      <c r="D288" s="12"/>
    </row>
    <row r="289" customFormat="false" ht="15" hidden="false" customHeight="false" outlineLevel="0" collapsed="false">
      <c r="A289" s="13" t="s">
        <v>35</v>
      </c>
      <c r="B289" s="13" t="s">
        <v>472</v>
      </c>
      <c r="C289" s="14" t="s">
        <v>473</v>
      </c>
      <c r="D289" s="12"/>
    </row>
    <row r="290" customFormat="false" ht="15" hidden="false" customHeight="false" outlineLevel="0" collapsed="false">
      <c r="A290" s="10" t="s">
        <v>13</v>
      </c>
      <c r="B290" s="10" t="s">
        <v>474</v>
      </c>
      <c r="C290" s="11" t="s">
        <v>475</v>
      </c>
      <c r="D290" s="12"/>
    </row>
    <row r="291" customFormat="false" ht="15" hidden="false" customHeight="false" outlineLevel="0" collapsed="false">
      <c r="A291" s="13" t="s">
        <v>35</v>
      </c>
      <c r="B291" s="13" t="s">
        <v>476</v>
      </c>
      <c r="C291" s="14" t="s">
        <v>477</v>
      </c>
      <c r="D291" s="12"/>
    </row>
    <row r="292" customFormat="false" ht="15" hidden="false" customHeight="false" outlineLevel="0" collapsed="false">
      <c r="A292" s="13" t="s">
        <v>35</v>
      </c>
      <c r="B292" s="13" t="s">
        <v>478</v>
      </c>
      <c r="C292" s="14" t="s">
        <v>479</v>
      </c>
      <c r="D292" s="12"/>
    </row>
    <row r="293" customFormat="false" ht="15" hidden="false" customHeight="false" outlineLevel="0" collapsed="false">
      <c r="A293" s="13" t="s">
        <v>35</v>
      </c>
      <c r="B293" s="13" t="s">
        <v>480</v>
      </c>
      <c r="C293" s="14" t="s">
        <v>481</v>
      </c>
      <c r="D293" s="12"/>
    </row>
    <row r="294" customFormat="false" ht="15" hidden="false" customHeight="false" outlineLevel="0" collapsed="false">
      <c r="A294" s="13" t="s">
        <v>35</v>
      </c>
      <c r="B294" s="13" t="s">
        <v>482</v>
      </c>
      <c r="C294" s="14" t="s">
        <v>483</v>
      </c>
      <c r="D294" s="12"/>
    </row>
    <row r="295" customFormat="false" ht="15" hidden="false" customHeight="false" outlineLevel="0" collapsed="false">
      <c r="A295" s="13" t="s">
        <v>35</v>
      </c>
      <c r="B295" s="13" t="s">
        <v>484</v>
      </c>
      <c r="C295" s="14" t="s">
        <v>485</v>
      </c>
      <c r="D295" s="12"/>
    </row>
    <row r="296" customFormat="false" ht="15" hidden="false" customHeight="false" outlineLevel="0" collapsed="false">
      <c r="A296" s="7" t="s">
        <v>9</v>
      </c>
      <c r="B296" s="7" t="s">
        <v>74</v>
      </c>
      <c r="C296" s="8" t="s">
        <v>486</v>
      </c>
      <c r="D296" s="9"/>
    </row>
    <row r="297" customFormat="false" ht="15" hidden="false" customHeight="false" outlineLevel="0" collapsed="false">
      <c r="A297" s="10" t="s">
        <v>13</v>
      </c>
      <c r="B297" s="10" t="s">
        <v>76</v>
      </c>
      <c r="C297" s="11" t="s">
        <v>487</v>
      </c>
      <c r="D297" s="12"/>
    </row>
    <row r="298" customFormat="false" ht="15" hidden="false" customHeight="false" outlineLevel="0" collapsed="false">
      <c r="A298" s="13" t="s">
        <v>35</v>
      </c>
      <c r="B298" s="13" t="s">
        <v>488</v>
      </c>
      <c r="C298" s="14" t="s">
        <v>489</v>
      </c>
      <c r="D298" s="12"/>
    </row>
    <row r="299" customFormat="false" ht="15" hidden="false" customHeight="false" outlineLevel="0" collapsed="false">
      <c r="A299" s="13" t="s">
        <v>35</v>
      </c>
      <c r="B299" s="13" t="s">
        <v>490</v>
      </c>
      <c r="C299" s="14" t="s">
        <v>491</v>
      </c>
      <c r="D299" s="12"/>
    </row>
    <row r="300" customFormat="false" ht="15" hidden="false" customHeight="false" outlineLevel="0" collapsed="false">
      <c r="A300" s="13" t="s">
        <v>35</v>
      </c>
      <c r="B300" s="13" t="s">
        <v>492</v>
      </c>
      <c r="C300" s="14" t="s">
        <v>493</v>
      </c>
      <c r="D300" s="12"/>
    </row>
    <row r="301" customFormat="false" ht="15" hidden="false" customHeight="false" outlineLevel="0" collapsed="false">
      <c r="A301" s="13" t="s">
        <v>35</v>
      </c>
      <c r="B301" s="13" t="s">
        <v>494</v>
      </c>
      <c r="C301" s="14" t="s">
        <v>495</v>
      </c>
      <c r="D301" s="12"/>
    </row>
    <row r="302" customFormat="false" ht="15" hidden="false" customHeight="false" outlineLevel="0" collapsed="false">
      <c r="A302" s="13" t="s">
        <v>35</v>
      </c>
      <c r="B302" s="13" t="s">
        <v>496</v>
      </c>
      <c r="C302" s="14" t="s">
        <v>497</v>
      </c>
      <c r="D302" s="12"/>
    </row>
    <row r="303" customFormat="false" ht="15" hidden="false" customHeight="false" outlineLevel="0" collapsed="false">
      <c r="A303" s="10" t="s">
        <v>13</v>
      </c>
      <c r="B303" s="10" t="s">
        <v>78</v>
      </c>
      <c r="C303" s="11" t="s">
        <v>498</v>
      </c>
      <c r="D303" s="12"/>
    </row>
    <row r="304" customFormat="false" ht="15" hidden="false" customHeight="false" outlineLevel="0" collapsed="false">
      <c r="A304" s="13" t="s">
        <v>35</v>
      </c>
      <c r="B304" s="13" t="s">
        <v>499</v>
      </c>
      <c r="C304" s="14" t="s">
        <v>500</v>
      </c>
      <c r="D304" s="12"/>
    </row>
    <row r="305" customFormat="false" ht="15" hidden="false" customHeight="false" outlineLevel="0" collapsed="false">
      <c r="A305" s="13" t="s">
        <v>35</v>
      </c>
      <c r="B305" s="13" t="s">
        <v>501</v>
      </c>
      <c r="C305" s="14" t="s">
        <v>502</v>
      </c>
      <c r="D305" s="12"/>
    </row>
    <row r="306" customFormat="false" ht="15" hidden="false" customHeight="false" outlineLevel="0" collapsed="false">
      <c r="A306" s="13" t="s">
        <v>35</v>
      </c>
      <c r="B306" s="13" t="s">
        <v>503</v>
      </c>
      <c r="C306" s="14" t="s">
        <v>504</v>
      </c>
      <c r="D306" s="12"/>
    </row>
    <row r="307" customFormat="false" ht="15" hidden="false" customHeight="false" outlineLevel="0" collapsed="false">
      <c r="A307" s="13" t="s">
        <v>35</v>
      </c>
      <c r="B307" s="13" t="s">
        <v>505</v>
      </c>
      <c r="C307" s="14" t="s">
        <v>506</v>
      </c>
      <c r="D307" s="12"/>
    </row>
    <row r="308" customFormat="false" ht="15" hidden="false" customHeight="false" outlineLevel="0" collapsed="false">
      <c r="A308" s="13" t="s">
        <v>35</v>
      </c>
      <c r="B308" s="13" t="s">
        <v>507</v>
      </c>
      <c r="C308" s="14" t="s">
        <v>508</v>
      </c>
      <c r="D308" s="12"/>
    </row>
    <row r="309" customFormat="false" ht="15" hidden="false" customHeight="false" outlineLevel="0" collapsed="false">
      <c r="A309" s="13" t="s">
        <v>35</v>
      </c>
      <c r="B309" s="13" t="s">
        <v>509</v>
      </c>
      <c r="C309" s="14" t="s">
        <v>510</v>
      </c>
      <c r="D309" s="12"/>
    </row>
    <row r="310" customFormat="false" ht="15" hidden="false" customHeight="false" outlineLevel="0" collapsed="false">
      <c r="A310" s="10" t="s">
        <v>13</v>
      </c>
      <c r="B310" s="10" t="s">
        <v>80</v>
      </c>
      <c r="C310" s="11" t="s">
        <v>511</v>
      </c>
      <c r="D310" s="12"/>
    </row>
    <row r="311" customFormat="false" ht="15" hidden="false" customHeight="false" outlineLevel="0" collapsed="false">
      <c r="A311" s="7" t="s">
        <v>9</v>
      </c>
      <c r="B311" s="7" t="s">
        <v>82</v>
      </c>
      <c r="C311" s="8" t="s">
        <v>512</v>
      </c>
      <c r="D311" s="9"/>
    </row>
    <row r="312" customFormat="false" ht="15" hidden="false" customHeight="false" outlineLevel="0" collapsed="false">
      <c r="A312" s="10" t="s">
        <v>13</v>
      </c>
      <c r="B312" s="10" t="s">
        <v>84</v>
      </c>
      <c r="C312" s="11" t="s">
        <v>513</v>
      </c>
      <c r="D312" s="12"/>
    </row>
    <row r="313" customFormat="false" ht="15" hidden="false" customHeight="false" outlineLevel="0" collapsed="false">
      <c r="A313" s="13" t="s">
        <v>35</v>
      </c>
      <c r="B313" s="13" t="s">
        <v>514</v>
      </c>
      <c r="C313" s="14" t="s">
        <v>515</v>
      </c>
      <c r="D313" s="12"/>
    </row>
    <row r="314" customFormat="false" ht="15" hidden="false" customHeight="false" outlineLevel="0" collapsed="false">
      <c r="A314" s="10" t="s">
        <v>13</v>
      </c>
      <c r="B314" s="10" t="s">
        <v>86</v>
      </c>
      <c r="C314" s="11" t="s">
        <v>516</v>
      </c>
      <c r="D314" s="12"/>
    </row>
    <row r="315" customFormat="false" ht="15" hidden="false" customHeight="false" outlineLevel="0" collapsed="false">
      <c r="A315" s="13" t="s">
        <v>35</v>
      </c>
      <c r="B315" s="13" t="s">
        <v>517</v>
      </c>
      <c r="C315" s="14" t="s">
        <v>518</v>
      </c>
      <c r="D315" s="12"/>
    </row>
    <row r="316" customFormat="false" ht="15" hidden="false" customHeight="false" outlineLevel="0" collapsed="false">
      <c r="A316" s="13" t="s">
        <v>35</v>
      </c>
      <c r="B316" s="13" t="s">
        <v>519</v>
      </c>
      <c r="C316" s="14" t="s">
        <v>520</v>
      </c>
      <c r="D316" s="12"/>
    </row>
    <row r="317" customFormat="false" ht="15" hidden="false" customHeight="false" outlineLevel="0" collapsed="false">
      <c r="A317" s="13" t="s">
        <v>35</v>
      </c>
      <c r="B317" s="13" t="s">
        <v>521</v>
      </c>
      <c r="C317" s="14" t="s">
        <v>522</v>
      </c>
      <c r="D317" s="12"/>
    </row>
    <row r="318" customFormat="false" ht="15" hidden="false" customHeight="false" outlineLevel="0" collapsed="false">
      <c r="A318" s="10" t="s">
        <v>13</v>
      </c>
      <c r="B318" s="10" t="s">
        <v>88</v>
      </c>
      <c r="C318" s="11" t="s">
        <v>523</v>
      </c>
      <c r="D318" s="12"/>
    </row>
    <row r="319" customFormat="false" ht="15" hidden="false" customHeight="false" outlineLevel="0" collapsed="false">
      <c r="A319" s="13" t="s">
        <v>35</v>
      </c>
      <c r="B319" s="13" t="s">
        <v>524</v>
      </c>
      <c r="C319" s="14" t="s">
        <v>525</v>
      </c>
      <c r="D319" s="12"/>
    </row>
    <row r="320" customFormat="false" ht="15" hidden="false" customHeight="false" outlineLevel="0" collapsed="false">
      <c r="A320" s="13" t="s">
        <v>35</v>
      </c>
      <c r="B320" s="13" t="s">
        <v>526</v>
      </c>
      <c r="C320" s="14" t="s">
        <v>527</v>
      </c>
      <c r="D320" s="12"/>
    </row>
    <row r="321" customFormat="false" ht="15" hidden="false" customHeight="false" outlineLevel="0" collapsed="false">
      <c r="A321" s="10" t="s">
        <v>13</v>
      </c>
      <c r="B321" s="10" t="s">
        <v>238</v>
      </c>
      <c r="C321" s="11" t="s">
        <v>528</v>
      </c>
      <c r="D321" s="12"/>
    </row>
    <row r="322" customFormat="false" ht="15" hidden="false" customHeight="false" outlineLevel="0" collapsed="false">
      <c r="A322" s="13" t="s">
        <v>35</v>
      </c>
      <c r="B322" s="13" t="s">
        <v>529</v>
      </c>
      <c r="C322" s="14" t="s">
        <v>530</v>
      </c>
      <c r="D322" s="12"/>
    </row>
    <row r="323" customFormat="false" ht="15" hidden="false" customHeight="false" outlineLevel="0" collapsed="false">
      <c r="A323" s="13" t="s">
        <v>35</v>
      </c>
      <c r="B323" s="13" t="s">
        <v>531</v>
      </c>
      <c r="C323" s="14" t="s">
        <v>532</v>
      </c>
      <c r="D323" s="12"/>
    </row>
    <row r="324" customFormat="false" ht="15" hidden="false" customHeight="false" outlineLevel="0" collapsed="false">
      <c r="A324" s="13" t="s">
        <v>35</v>
      </c>
      <c r="B324" s="13" t="s">
        <v>533</v>
      </c>
      <c r="C324" s="14" t="s">
        <v>534</v>
      </c>
      <c r="D324" s="12"/>
    </row>
    <row r="325" customFormat="false" ht="15" hidden="false" customHeight="false" outlineLevel="0" collapsed="false">
      <c r="A325" s="10" t="s">
        <v>13</v>
      </c>
      <c r="B325" s="10" t="s">
        <v>240</v>
      </c>
      <c r="C325" s="11" t="s">
        <v>535</v>
      </c>
      <c r="D325" s="12"/>
    </row>
    <row r="326" customFormat="false" ht="15" hidden="false" customHeight="false" outlineLevel="0" collapsed="false">
      <c r="A326" s="13" t="s">
        <v>35</v>
      </c>
      <c r="B326" s="13" t="s">
        <v>536</v>
      </c>
      <c r="C326" s="14" t="s">
        <v>537</v>
      </c>
      <c r="D326" s="12"/>
    </row>
    <row r="327" customFormat="false" ht="15" hidden="false" customHeight="false" outlineLevel="0" collapsed="false">
      <c r="A327" s="13" t="s">
        <v>35</v>
      </c>
      <c r="B327" s="13" t="s">
        <v>538</v>
      </c>
      <c r="C327" s="14" t="s">
        <v>539</v>
      </c>
      <c r="D327" s="12"/>
    </row>
    <row r="328" customFormat="false" ht="15" hidden="false" customHeight="false" outlineLevel="0" collapsed="false">
      <c r="A328" s="13" t="s">
        <v>35</v>
      </c>
      <c r="B328" s="13" t="s">
        <v>540</v>
      </c>
      <c r="C328" s="14" t="s">
        <v>541</v>
      </c>
      <c r="D328" s="12"/>
    </row>
    <row r="329" customFormat="false" ht="15" hidden="false" customHeight="false" outlineLevel="0" collapsed="false">
      <c r="A329" s="13" t="s">
        <v>35</v>
      </c>
      <c r="B329" s="13" t="s">
        <v>542</v>
      </c>
      <c r="C329" s="14" t="s">
        <v>543</v>
      </c>
      <c r="D329" s="12"/>
    </row>
    <row r="330" customFormat="false" ht="15" hidden="false" customHeight="false" outlineLevel="0" collapsed="false">
      <c r="A330" s="10" t="s">
        <v>13</v>
      </c>
      <c r="B330" s="10" t="s">
        <v>242</v>
      </c>
      <c r="C330" s="11" t="s">
        <v>544</v>
      </c>
      <c r="D330" s="12"/>
    </row>
    <row r="331" customFormat="false" ht="15" hidden="false" customHeight="false" outlineLevel="0" collapsed="false">
      <c r="A331" s="13" t="s">
        <v>35</v>
      </c>
      <c r="B331" s="13" t="s">
        <v>545</v>
      </c>
      <c r="C331" s="14" t="s">
        <v>546</v>
      </c>
      <c r="D331" s="12"/>
    </row>
    <row r="332" customFormat="false" ht="15" hidden="false" customHeight="false" outlineLevel="0" collapsed="false">
      <c r="A332" s="13" t="s">
        <v>35</v>
      </c>
      <c r="B332" s="13" t="s">
        <v>547</v>
      </c>
      <c r="C332" s="14" t="s">
        <v>548</v>
      </c>
      <c r="D332" s="12"/>
    </row>
    <row r="333" customFormat="false" ht="15" hidden="false" customHeight="false" outlineLevel="0" collapsed="false">
      <c r="A333" s="10" t="s">
        <v>13</v>
      </c>
      <c r="B333" s="10" t="s">
        <v>244</v>
      </c>
      <c r="C333" s="11" t="s">
        <v>549</v>
      </c>
      <c r="D333" s="12"/>
    </row>
    <row r="334" customFormat="false" ht="15" hidden="false" customHeight="false" outlineLevel="0" collapsed="false">
      <c r="A334" s="10" t="s">
        <v>13</v>
      </c>
      <c r="B334" s="10" t="s">
        <v>246</v>
      </c>
      <c r="C334" s="11" t="s">
        <v>550</v>
      </c>
      <c r="D334" s="12"/>
    </row>
    <row r="335" customFormat="false" ht="15" hidden="false" customHeight="false" outlineLevel="0" collapsed="false">
      <c r="A335" s="13" t="s">
        <v>35</v>
      </c>
      <c r="B335" s="13" t="s">
        <v>551</v>
      </c>
      <c r="C335" s="14" t="s">
        <v>552</v>
      </c>
      <c r="D335" s="12"/>
    </row>
    <row r="336" customFormat="false" ht="15" hidden="false" customHeight="false" outlineLevel="0" collapsed="false">
      <c r="A336" s="13" t="s">
        <v>35</v>
      </c>
      <c r="B336" s="13" t="s">
        <v>553</v>
      </c>
      <c r="C336" s="14" t="s">
        <v>554</v>
      </c>
      <c r="D336" s="12"/>
    </row>
    <row r="337" customFormat="false" ht="15" hidden="false" customHeight="false" outlineLevel="0" collapsed="false">
      <c r="A337" s="13" t="s">
        <v>35</v>
      </c>
      <c r="B337" s="13" t="s">
        <v>555</v>
      </c>
      <c r="C337" s="14" t="s">
        <v>556</v>
      </c>
      <c r="D337" s="12"/>
    </row>
    <row r="338" customFormat="false" ht="15" hidden="false" customHeight="false" outlineLevel="0" collapsed="false">
      <c r="A338" s="10" t="s">
        <v>13</v>
      </c>
      <c r="B338" s="10" t="s">
        <v>248</v>
      </c>
      <c r="C338" s="11" t="s">
        <v>557</v>
      </c>
      <c r="D338" s="12"/>
    </row>
    <row r="339" customFormat="false" ht="15" hidden="false" customHeight="false" outlineLevel="0" collapsed="false">
      <c r="A339" s="13" t="s">
        <v>35</v>
      </c>
      <c r="B339" s="13" t="s">
        <v>558</v>
      </c>
      <c r="C339" s="14" t="s">
        <v>559</v>
      </c>
      <c r="D339" s="12"/>
    </row>
    <row r="340" customFormat="false" ht="15" hidden="false" customHeight="false" outlineLevel="0" collapsed="false">
      <c r="A340" s="13" t="s">
        <v>35</v>
      </c>
      <c r="B340" s="13" t="s">
        <v>560</v>
      </c>
      <c r="C340" s="14" t="s">
        <v>561</v>
      </c>
      <c r="D340" s="12"/>
    </row>
    <row r="341" customFormat="false" ht="23.85" hidden="false" customHeight="false" outlineLevel="0" collapsed="false">
      <c r="A341" s="10" t="s">
        <v>13</v>
      </c>
      <c r="B341" s="10" t="s">
        <v>90</v>
      </c>
      <c r="C341" s="11" t="s">
        <v>562</v>
      </c>
      <c r="D341" s="12"/>
    </row>
    <row r="342" customFormat="false" ht="15" hidden="false" customHeight="false" outlineLevel="0" collapsed="false">
      <c r="A342" s="2"/>
      <c r="B342" s="2"/>
      <c r="C342" s="3" t="s">
        <v>563</v>
      </c>
      <c r="D342" s="2"/>
    </row>
    <row r="343" customFormat="false" ht="15" hidden="false" customHeight="false" outlineLevel="0" collapsed="false">
      <c r="A343" s="7" t="s">
        <v>9</v>
      </c>
      <c r="B343" s="7" t="s">
        <v>10</v>
      </c>
      <c r="C343" s="8" t="s">
        <v>564</v>
      </c>
      <c r="D343" s="9"/>
    </row>
    <row r="344" customFormat="false" ht="15" hidden="false" customHeight="false" outlineLevel="0" collapsed="false">
      <c r="A344" s="7" t="s">
        <v>9</v>
      </c>
      <c r="B344" s="7" t="s">
        <v>26</v>
      </c>
      <c r="C344" s="8" t="s">
        <v>565</v>
      </c>
      <c r="D344" s="9"/>
    </row>
    <row r="345" customFormat="false" ht="15" hidden="false" customHeight="false" outlineLevel="0" collapsed="false">
      <c r="A345" s="7" t="s">
        <v>9</v>
      </c>
      <c r="B345" s="7" t="s">
        <v>74</v>
      </c>
      <c r="C345" s="8" t="s">
        <v>566</v>
      </c>
      <c r="D345" s="9"/>
    </row>
    <row r="346" customFormat="false" ht="15" hidden="false" customHeight="false" outlineLevel="0" collapsed="false">
      <c r="A346" s="7" t="s">
        <v>9</v>
      </c>
      <c r="B346" s="7" t="s">
        <v>82</v>
      </c>
      <c r="C346" s="8" t="s">
        <v>567</v>
      </c>
      <c r="D346" s="9"/>
    </row>
    <row r="347" customFormat="false" ht="15" hidden="false" customHeight="false" outlineLevel="0" collapsed="false">
      <c r="A347" s="7" t="s">
        <v>9</v>
      </c>
      <c r="B347" s="7" t="s">
        <v>90</v>
      </c>
      <c r="C347" s="8" t="s">
        <v>568</v>
      </c>
      <c r="D347" s="9"/>
    </row>
    <row r="348" customFormat="false" ht="15" hidden="false" customHeight="false" outlineLevel="0" collapsed="false">
      <c r="A348" s="7" t="s">
        <v>9</v>
      </c>
      <c r="B348" s="7" t="s">
        <v>104</v>
      </c>
      <c r="C348" s="8" t="s">
        <v>569</v>
      </c>
      <c r="D348" s="9"/>
    </row>
    <row r="349" customFormat="false" ht="15" hidden="false" customHeight="false" outlineLevel="0" collapsed="false">
      <c r="A349" s="7" t="s">
        <v>9</v>
      </c>
      <c r="B349" s="7" t="s">
        <v>122</v>
      </c>
      <c r="C349" s="8" t="s">
        <v>570</v>
      </c>
      <c r="D349" s="9"/>
    </row>
    <row r="350" customFormat="false" ht="15" hidden="false" customHeight="false" outlineLevel="0" collapsed="false">
      <c r="A350" s="7" t="s">
        <v>9</v>
      </c>
      <c r="B350" s="7" t="s">
        <v>136</v>
      </c>
      <c r="C350" s="8" t="s">
        <v>571</v>
      </c>
      <c r="D350" s="9"/>
    </row>
    <row r="351" customFormat="false" ht="15" hidden="false" customHeight="false" outlineLevel="0" collapsed="false">
      <c r="A351" s="7" t="s">
        <v>9</v>
      </c>
      <c r="B351" s="7" t="s">
        <v>145</v>
      </c>
      <c r="C351" s="8" t="s">
        <v>572</v>
      </c>
      <c r="D351" s="9"/>
    </row>
    <row r="352" customFormat="false" ht="15" hidden="false" customHeight="false" outlineLevel="0" collapsed="false">
      <c r="A352" s="10" t="s">
        <v>13</v>
      </c>
      <c r="B352" s="10"/>
      <c r="C352" s="11" t="s">
        <v>573</v>
      </c>
      <c r="D352" s="12"/>
    </row>
    <row r="353" customFormat="false" ht="15" hidden="false" customHeight="false" outlineLevel="0" collapsed="false">
      <c r="A353" s="10" t="s">
        <v>13</v>
      </c>
      <c r="B353" s="10"/>
      <c r="C353" s="11" t="s">
        <v>574</v>
      </c>
      <c r="D353" s="12"/>
    </row>
    <row r="354" customFormat="false" ht="15" hidden="false" customHeight="false" outlineLevel="0" collapsed="false">
      <c r="A354" s="10" t="s">
        <v>13</v>
      </c>
      <c r="B354" s="10"/>
      <c r="C354" s="11" t="s">
        <v>575</v>
      </c>
      <c r="D354" s="12"/>
    </row>
    <row r="355" customFormat="false" ht="15" hidden="false" customHeight="false" outlineLevel="0" collapsed="false">
      <c r="A355" s="10" t="s">
        <v>13</v>
      </c>
      <c r="B355" s="10"/>
      <c r="C355" s="11" t="s">
        <v>576</v>
      </c>
      <c r="D355" s="12"/>
    </row>
    <row r="356" customFormat="false" ht="15" hidden="false" customHeight="false" outlineLevel="0" collapsed="false">
      <c r="A356" s="7" t="s">
        <v>9</v>
      </c>
      <c r="B356" s="7" t="s">
        <v>156</v>
      </c>
      <c r="C356" s="8" t="s">
        <v>577</v>
      </c>
      <c r="D356" s="9"/>
    </row>
    <row r="357" customFormat="false" ht="15" hidden="false" customHeight="false" outlineLevel="0" collapsed="false">
      <c r="A357" s="7" t="s">
        <v>9</v>
      </c>
      <c r="B357" s="7" t="s">
        <v>176</v>
      </c>
      <c r="C357" s="8" t="s">
        <v>578</v>
      </c>
      <c r="D357" s="9"/>
    </row>
    <row r="358" customFormat="false" ht="23.85" hidden="false" customHeight="false" outlineLevel="0" collapsed="false">
      <c r="A358" s="7" t="s">
        <v>9</v>
      </c>
      <c r="B358" s="7" t="s">
        <v>294</v>
      </c>
      <c r="C358" s="8" t="s">
        <v>579</v>
      </c>
      <c r="D358" s="9"/>
    </row>
    <row r="359" customFormat="false" ht="15" hidden="false" customHeight="false" outlineLevel="0" collapsed="false">
      <c r="A359" s="7" t="s">
        <v>9</v>
      </c>
      <c r="B359" s="7" t="s">
        <v>296</v>
      </c>
      <c r="C359" s="8" t="s">
        <v>580</v>
      </c>
      <c r="D359" s="9"/>
    </row>
    <row r="360" customFormat="false" ht="15" hidden="false" customHeight="false" outlineLevel="0" collapsed="false">
      <c r="A360" s="7" t="s">
        <v>9</v>
      </c>
      <c r="B360" s="7" t="s">
        <v>328</v>
      </c>
      <c r="C360" s="8" t="s">
        <v>581</v>
      </c>
      <c r="D360" s="9"/>
    </row>
    <row r="361" customFormat="false" ht="23.85" hidden="false" customHeight="false" outlineLevel="0" collapsed="false">
      <c r="A361" s="7" t="s">
        <v>9</v>
      </c>
      <c r="B361" s="7" t="s">
        <v>332</v>
      </c>
      <c r="C361" s="8" t="s">
        <v>582</v>
      </c>
      <c r="D361" s="9"/>
    </row>
    <row r="362" customFormat="false" ht="15" hidden="false" customHeight="false" outlineLevel="0" collapsed="false">
      <c r="A362" s="7" t="s">
        <v>9</v>
      </c>
      <c r="B362" s="7" t="s">
        <v>334</v>
      </c>
      <c r="C362" s="8" t="s">
        <v>583</v>
      </c>
      <c r="D362" s="9"/>
    </row>
    <row r="363" customFormat="false" ht="15" hidden="false" customHeight="false" outlineLevel="0" collapsed="false">
      <c r="A363" s="7" t="s">
        <v>9</v>
      </c>
      <c r="B363" s="7" t="s">
        <v>336</v>
      </c>
      <c r="C363" s="8" t="s">
        <v>584</v>
      </c>
      <c r="D363" s="9"/>
    </row>
    <row r="364" customFormat="false" ht="23.85" hidden="false" customHeight="false" outlineLevel="0" collapsed="false">
      <c r="A364" s="7" t="s">
        <v>9</v>
      </c>
      <c r="B364" s="7" t="s">
        <v>338</v>
      </c>
      <c r="C364" s="8" t="s">
        <v>585</v>
      </c>
      <c r="D364" s="9"/>
    </row>
    <row r="365" customFormat="false" ht="15" hidden="false" customHeight="false" outlineLevel="0" collapsed="false">
      <c r="A365" s="7" t="s">
        <v>9</v>
      </c>
      <c r="B365" s="7" t="s">
        <v>340</v>
      </c>
      <c r="C365" s="8" t="s">
        <v>586</v>
      </c>
      <c r="D365" s="9"/>
    </row>
    <row r="366" customFormat="false" ht="23.85" hidden="false" customHeight="false" outlineLevel="0" collapsed="false">
      <c r="A366" s="7" t="s">
        <v>9</v>
      </c>
      <c r="B366" s="7" t="s">
        <v>587</v>
      </c>
      <c r="C366" s="8" t="s">
        <v>588</v>
      </c>
      <c r="D366" s="9"/>
    </row>
    <row r="367" customFormat="false" ht="23.85" hidden="false" customHeight="false" outlineLevel="0" collapsed="false">
      <c r="A367" s="7" t="s">
        <v>9</v>
      </c>
      <c r="B367" s="7" t="s">
        <v>589</v>
      </c>
      <c r="C367" s="8" t="s">
        <v>590</v>
      </c>
      <c r="D367" s="9"/>
    </row>
    <row r="368" customFormat="false" ht="15" hidden="false" customHeight="false" outlineLevel="0" collapsed="false">
      <c r="A368" s="7" t="s">
        <v>9</v>
      </c>
      <c r="B368" s="7" t="s">
        <v>591</v>
      </c>
      <c r="C368" s="8" t="s">
        <v>592</v>
      </c>
      <c r="D368" s="9"/>
    </row>
    <row r="369" customFormat="false" ht="15" hidden="false" customHeight="false" outlineLevel="0" collapsed="false">
      <c r="A369" s="7" t="s">
        <v>9</v>
      </c>
      <c r="B369" s="7" t="s">
        <v>593</v>
      </c>
      <c r="C369" s="8" t="s">
        <v>594</v>
      </c>
      <c r="D369" s="9"/>
    </row>
    <row r="370" customFormat="false" ht="15" hidden="false" customHeight="false" outlineLevel="0" collapsed="false">
      <c r="A370" s="10" t="s">
        <v>13</v>
      </c>
      <c r="B370" s="10"/>
      <c r="C370" s="11" t="s">
        <v>595</v>
      </c>
      <c r="D370" s="12"/>
    </row>
    <row r="371" customFormat="false" ht="15" hidden="false" customHeight="false" outlineLevel="0" collapsed="false">
      <c r="A371" s="10" t="s">
        <v>13</v>
      </c>
      <c r="B371" s="10"/>
      <c r="C371" s="11" t="s">
        <v>596</v>
      </c>
      <c r="D371" s="12"/>
    </row>
    <row r="372" customFormat="false" ht="15" hidden="false" customHeight="false" outlineLevel="0" collapsed="false">
      <c r="A372" s="10" t="s">
        <v>13</v>
      </c>
      <c r="B372" s="10"/>
      <c r="C372" s="11" t="s">
        <v>597</v>
      </c>
      <c r="D372" s="12"/>
    </row>
    <row r="373" customFormat="false" ht="15" hidden="false" customHeight="false" outlineLevel="0" collapsed="false">
      <c r="A373" s="10" t="s">
        <v>13</v>
      </c>
      <c r="B373" s="10"/>
      <c r="C373" s="11" t="s">
        <v>598</v>
      </c>
      <c r="D373" s="12"/>
    </row>
    <row r="374" customFormat="false" ht="15" hidden="false" customHeight="false" outlineLevel="0" collapsed="false">
      <c r="A374" s="10" t="s">
        <v>13</v>
      </c>
      <c r="B374" s="10"/>
      <c r="C374" s="11" t="s">
        <v>599</v>
      </c>
      <c r="D374" s="12"/>
    </row>
    <row r="375" customFormat="false" ht="15" hidden="false" customHeight="false" outlineLevel="0" collapsed="false">
      <c r="A375" s="10" t="s">
        <v>13</v>
      </c>
      <c r="B375" s="10"/>
      <c r="C375" s="11" t="s">
        <v>600</v>
      </c>
      <c r="D375" s="12"/>
    </row>
    <row r="376" customFormat="false" ht="15" hidden="false" customHeight="false" outlineLevel="0" collapsed="false">
      <c r="A376" s="10" t="s">
        <v>13</v>
      </c>
      <c r="B376" s="10"/>
      <c r="C376" s="11" t="s">
        <v>601</v>
      </c>
      <c r="D376" s="12"/>
    </row>
    <row r="377" customFormat="false" ht="15" hidden="false" customHeight="false" outlineLevel="0" collapsed="false">
      <c r="A377" s="10" t="s">
        <v>13</v>
      </c>
      <c r="B377" s="10"/>
      <c r="C377" s="11" t="s">
        <v>602</v>
      </c>
      <c r="D377" s="12"/>
    </row>
    <row r="378" customFormat="false" ht="15" hidden="false" customHeight="false" outlineLevel="0" collapsed="false">
      <c r="A378" s="10" t="s">
        <v>13</v>
      </c>
      <c r="B378" s="10"/>
      <c r="C378" s="11" t="s">
        <v>603</v>
      </c>
      <c r="D378" s="12"/>
    </row>
    <row r="379" customFormat="false" ht="15" hidden="false" customHeight="false" outlineLevel="0" collapsed="false">
      <c r="A379" s="10" t="s">
        <v>13</v>
      </c>
      <c r="B379" s="10"/>
      <c r="C379" s="11" t="s">
        <v>604</v>
      </c>
      <c r="D379" s="12"/>
    </row>
    <row r="380" customFormat="false" ht="15" hidden="false" customHeight="false" outlineLevel="0" collapsed="false">
      <c r="A380" s="10" t="s">
        <v>13</v>
      </c>
      <c r="B380" s="10"/>
      <c r="C380" s="11" t="s">
        <v>605</v>
      </c>
      <c r="D380" s="12"/>
    </row>
    <row r="381" customFormat="false" ht="15" hidden="false" customHeight="false" outlineLevel="0" collapsed="false">
      <c r="A381" s="10" t="s">
        <v>13</v>
      </c>
      <c r="B381" s="10"/>
      <c r="C381" s="11" t="s">
        <v>606</v>
      </c>
      <c r="D381" s="12"/>
    </row>
    <row r="382" customFormat="false" ht="15" hidden="false" customHeight="false" outlineLevel="0" collapsed="false">
      <c r="A382" s="10" t="s">
        <v>13</v>
      </c>
      <c r="B382" s="10"/>
      <c r="C382" s="11" t="s">
        <v>607</v>
      </c>
      <c r="D382" s="12"/>
    </row>
    <row r="383" customFormat="false" ht="15" hidden="false" customHeight="false" outlineLevel="0" collapsed="false">
      <c r="A383" s="7" t="s">
        <v>9</v>
      </c>
      <c r="B383" s="7" t="s">
        <v>608</v>
      </c>
      <c r="C383" s="8" t="s">
        <v>609</v>
      </c>
      <c r="D383" s="9"/>
    </row>
    <row r="384" customFormat="false" ht="15" hidden="false" customHeight="false" outlineLevel="0" collapsed="false">
      <c r="A384" s="10" t="s">
        <v>13</v>
      </c>
      <c r="B384" s="10"/>
      <c r="C384" s="11" t="s">
        <v>610</v>
      </c>
      <c r="D384" s="12"/>
    </row>
    <row r="385" customFormat="false" ht="15" hidden="false" customHeight="false" outlineLevel="0" collapsed="false">
      <c r="A385" s="10" t="s">
        <v>13</v>
      </c>
      <c r="B385" s="10"/>
      <c r="C385" s="11" t="s">
        <v>611</v>
      </c>
      <c r="D385" s="12"/>
    </row>
    <row r="386" customFormat="false" ht="15" hidden="false" customHeight="false" outlineLevel="0" collapsed="false">
      <c r="A386" s="10" t="s">
        <v>13</v>
      </c>
      <c r="B386" s="10"/>
      <c r="C386" s="11" t="s">
        <v>612</v>
      </c>
      <c r="D386" s="12"/>
    </row>
    <row r="387" customFormat="false" ht="15" hidden="false" customHeight="false" outlineLevel="0" collapsed="false">
      <c r="A387" s="10" t="s">
        <v>13</v>
      </c>
      <c r="B387" s="10"/>
      <c r="C387" s="11" t="s">
        <v>613</v>
      </c>
      <c r="D387" s="12"/>
    </row>
    <row r="388" customFormat="false" ht="15" hidden="false" customHeight="false" outlineLevel="0" collapsed="false">
      <c r="A388" s="10" t="s">
        <v>13</v>
      </c>
      <c r="B388" s="10"/>
      <c r="C388" s="11" t="s">
        <v>614</v>
      </c>
      <c r="D388" s="12"/>
    </row>
    <row r="389" customFormat="false" ht="15" hidden="false" customHeight="false" outlineLevel="0" collapsed="false">
      <c r="A389" s="7" t="s">
        <v>9</v>
      </c>
      <c r="B389" s="7" t="s">
        <v>615</v>
      </c>
      <c r="C389" s="8" t="s">
        <v>616</v>
      </c>
      <c r="D389" s="9"/>
    </row>
    <row r="390" customFormat="false" ht="15" hidden="false" customHeight="false" outlineLevel="0" collapsed="false">
      <c r="A390" s="10" t="s">
        <v>13</v>
      </c>
      <c r="B390" s="10"/>
      <c r="C390" s="11" t="s">
        <v>617</v>
      </c>
      <c r="D390" s="12"/>
    </row>
    <row r="391" customFormat="false" ht="15" hidden="false" customHeight="false" outlineLevel="0" collapsed="false">
      <c r="A391" s="10" t="s">
        <v>13</v>
      </c>
      <c r="B391" s="10"/>
      <c r="C391" s="11" t="s">
        <v>618</v>
      </c>
      <c r="D391" s="12"/>
    </row>
    <row r="392" customFormat="false" ht="15" hidden="false" customHeight="false" outlineLevel="0" collapsed="false">
      <c r="A392" s="10" t="s">
        <v>13</v>
      </c>
      <c r="B392" s="10"/>
      <c r="C392" s="11" t="s">
        <v>619</v>
      </c>
      <c r="D392" s="12"/>
    </row>
    <row r="393" customFormat="false" ht="15" hidden="false" customHeight="false" outlineLevel="0" collapsed="false">
      <c r="A393" s="10" t="s">
        <v>13</v>
      </c>
      <c r="B393" s="10"/>
      <c r="C393" s="11" t="s">
        <v>620</v>
      </c>
      <c r="D393" s="12"/>
    </row>
    <row r="394" customFormat="false" ht="15" hidden="false" customHeight="false" outlineLevel="0" collapsed="false">
      <c r="A394" s="7" t="s">
        <v>9</v>
      </c>
      <c r="B394" s="7" t="s">
        <v>621</v>
      </c>
      <c r="C394" s="8" t="s">
        <v>622</v>
      </c>
      <c r="D394" s="9"/>
    </row>
    <row r="395" customFormat="false" ht="15" hidden="false" customHeight="false" outlineLevel="0" collapsed="false">
      <c r="A395" s="10" t="s">
        <v>13</v>
      </c>
      <c r="B395" s="10"/>
      <c r="C395" s="11" t="s">
        <v>623</v>
      </c>
      <c r="D395" s="12"/>
    </row>
    <row r="396" customFormat="false" ht="15" hidden="false" customHeight="false" outlineLevel="0" collapsed="false">
      <c r="A396" s="7" t="s">
        <v>9</v>
      </c>
      <c r="B396" s="7" t="s">
        <v>624</v>
      </c>
      <c r="C396" s="8" t="s">
        <v>625</v>
      </c>
      <c r="D396" s="9"/>
    </row>
    <row r="397" customFormat="false" ht="15" hidden="false" customHeight="false" outlineLevel="0" collapsed="false">
      <c r="A397" s="10" t="s">
        <v>13</v>
      </c>
      <c r="B397" s="10"/>
      <c r="C397" s="11" t="s">
        <v>626</v>
      </c>
      <c r="D397" s="12"/>
    </row>
    <row r="398" customFormat="false" ht="15" hidden="false" customHeight="false" outlineLevel="0" collapsed="false">
      <c r="A398" s="10" t="s">
        <v>13</v>
      </c>
      <c r="B398" s="10"/>
      <c r="C398" s="11" t="s">
        <v>627</v>
      </c>
      <c r="D398" s="12"/>
    </row>
    <row r="399" customFormat="false" ht="15" hidden="false" customHeight="false" outlineLevel="0" collapsed="false">
      <c r="A399" s="10" t="s">
        <v>13</v>
      </c>
      <c r="B399" s="10"/>
      <c r="C399" s="11" t="s">
        <v>628</v>
      </c>
      <c r="D399" s="12"/>
    </row>
    <row r="400" customFormat="false" ht="15" hidden="false" customHeight="false" outlineLevel="0" collapsed="false">
      <c r="A400" s="7" t="s">
        <v>9</v>
      </c>
      <c r="B400" s="7" t="s">
        <v>629</v>
      </c>
      <c r="C400" s="8" t="s">
        <v>630</v>
      </c>
      <c r="D400" s="9"/>
    </row>
    <row r="401" customFormat="false" ht="15" hidden="false" customHeight="false" outlineLevel="0" collapsed="false">
      <c r="A401" s="10" t="s">
        <v>13</v>
      </c>
      <c r="B401" s="10"/>
      <c r="C401" s="11" t="s">
        <v>631</v>
      </c>
      <c r="D401" s="12"/>
    </row>
    <row r="402" customFormat="false" ht="15" hidden="false" customHeight="false" outlineLevel="0" collapsed="false">
      <c r="A402" s="10" t="s">
        <v>13</v>
      </c>
      <c r="B402" s="10"/>
      <c r="C402" s="11" t="s">
        <v>632</v>
      </c>
      <c r="D402" s="12"/>
    </row>
    <row r="403" customFormat="false" ht="15" hidden="false" customHeight="false" outlineLevel="0" collapsed="false">
      <c r="A403" s="10" t="s">
        <v>13</v>
      </c>
      <c r="B403" s="10"/>
      <c r="C403" s="11" t="s">
        <v>633</v>
      </c>
      <c r="D403" s="12"/>
    </row>
    <row r="404" customFormat="false" ht="15" hidden="false" customHeight="false" outlineLevel="0" collapsed="false">
      <c r="A404" s="7" t="s">
        <v>9</v>
      </c>
      <c r="B404" s="7" t="s">
        <v>634</v>
      </c>
      <c r="C404" s="8" t="s">
        <v>635</v>
      </c>
      <c r="D404" s="9"/>
    </row>
    <row r="405" customFormat="false" ht="15" hidden="false" customHeight="false" outlineLevel="0" collapsed="false">
      <c r="A405" s="10" t="s">
        <v>13</v>
      </c>
      <c r="B405" s="10"/>
      <c r="C405" s="11" t="s">
        <v>636</v>
      </c>
      <c r="D405" s="12"/>
    </row>
    <row r="406" customFormat="false" ht="15" hidden="false" customHeight="false" outlineLevel="0" collapsed="false">
      <c r="A406" s="7" t="s">
        <v>9</v>
      </c>
      <c r="B406" s="7" t="s">
        <v>637</v>
      </c>
      <c r="C406" s="8" t="s">
        <v>638</v>
      </c>
      <c r="D406" s="9"/>
    </row>
    <row r="407" customFormat="false" ht="15" hidden="false" customHeight="false" outlineLevel="0" collapsed="false">
      <c r="A407" s="10" t="s">
        <v>13</v>
      </c>
      <c r="B407" s="10"/>
      <c r="C407" s="11" t="s">
        <v>639</v>
      </c>
      <c r="D407" s="12"/>
    </row>
    <row r="408" customFormat="false" ht="15" hidden="false" customHeight="false" outlineLevel="0" collapsed="false">
      <c r="A408" s="7" t="s">
        <v>9</v>
      </c>
      <c r="B408" s="7" t="s">
        <v>640</v>
      </c>
      <c r="C408" s="8" t="s">
        <v>641</v>
      </c>
      <c r="D408" s="9"/>
    </row>
    <row r="409" customFormat="false" ht="15" hidden="false" customHeight="false" outlineLevel="0" collapsed="false">
      <c r="A409" s="10" t="s">
        <v>13</v>
      </c>
      <c r="B409" s="10"/>
      <c r="C409" s="11" t="s">
        <v>642</v>
      </c>
      <c r="D409" s="12"/>
    </row>
    <row r="410" customFormat="false" ht="15" hidden="false" customHeight="false" outlineLevel="0" collapsed="false">
      <c r="A410" s="7" t="s">
        <v>9</v>
      </c>
      <c r="B410" s="7" t="s">
        <v>643</v>
      </c>
      <c r="C410" s="8" t="s">
        <v>644</v>
      </c>
      <c r="D410" s="9"/>
    </row>
    <row r="411" customFormat="false" ht="15" hidden="false" customHeight="false" outlineLevel="0" collapsed="false">
      <c r="A411" s="7" t="s">
        <v>9</v>
      </c>
      <c r="B411" s="7" t="s">
        <v>645</v>
      </c>
      <c r="C411" s="8" t="s">
        <v>646</v>
      </c>
      <c r="D411" s="9"/>
    </row>
    <row r="412" customFormat="false" ht="15" hidden="false" customHeight="false" outlineLevel="0" collapsed="false">
      <c r="A412" s="7" t="s">
        <v>9</v>
      </c>
      <c r="B412" s="7" t="s">
        <v>647</v>
      </c>
      <c r="C412" s="8" t="s">
        <v>648</v>
      </c>
      <c r="D412" s="9"/>
    </row>
    <row r="413" customFormat="false" ht="15" hidden="false" customHeight="false" outlineLevel="0" collapsed="false">
      <c r="A413" s="7" t="s">
        <v>9</v>
      </c>
      <c r="B413" s="7" t="s">
        <v>649</v>
      </c>
      <c r="C413" s="8" t="s">
        <v>650</v>
      </c>
      <c r="D413" s="9"/>
    </row>
    <row r="414" customFormat="false" ht="15" hidden="false" customHeight="false" outlineLevel="0" collapsed="false">
      <c r="A414" s="2"/>
      <c r="B414" s="2"/>
      <c r="C414" s="3" t="s">
        <v>651</v>
      </c>
      <c r="D414" s="2"/>
    </row>
    <row r="415" customFormat="false" ht="15" hidden="false" customHeight="false" outlineLevel="0" collapsed="false">
      <c r="A415" s="7" t="s">
        <v>9</v>
      </c>
      <c r="B415" s="7" t="s">
        <v>10</v>
      </c>
      <c r="C415" s="8" t="s">
        <v>652</v>
      </c>
      <c r="D415" s="9"/>
    </row>
    <row r="416" customFormat="false" ht="15" hidden="false" customHeight="false" outlineLevel="0" collapsed="false">
      <c r="A416" s="7" t="s">
        <v>9</v>
      </c>
      <c r="B416" s="7" t="s">
        <v>26</v>
      </c>
      <c r="C416" s="8" t="s">
        <v>653</v>
      </c>
      <c r="D416" s="9"/>
    </row>
    <row r="417" customFormat="false" ht="15" hidden="false" customHeight="false" outlineLevel="0" collapsed="false">
      <c r="A417" s="2"/>
      <c r="B417" s="2"/>
      <c r="C417" s="3" t="s">
        <v>654</v>
      </c>
      <c r="D417" s="2"/>
    </row>
    <row r="418" customFormat="false" ht="15" hidden="false" customHeight="false" outlineLevel="0" collapsed="false">
      <c r="A418" s="7" t="s">
        <v>9</v>
      </c>
      <c r="B418" s="7" t="s">
        <v>10</v>
      </c>
      <c r="C418" s="8" t="s">
        <v>655</v>
      </c>
      <c r="D418" s="9"/>
    </row>
    <row r="419" customFormat="false" ht="15" hidden="false" customHeight="false" outlineLevel="0" collapsed="false">
      <c r="A419" s="7" t="s">
        <v>9</v>
      </c>
      <c r="B419" s="7" t="s">
        <v>26</v>
      </c>
      <c r="C419" s="8" t="s">
        <v>656</v>
      </c>
      <c r="D419" s="9"/>
    </row>
    <row r="420" customFormat="false" ht="15" hidden="false" customHeight="false" outlineLevel="0" collapsed="false">
      <c r="A420" s="19"/>
      <c r="B420" s="19"/>
      <c r="C420" s="20" t="s">
        <v>39</v>
      </c>
      <c r="D420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2026-03-22T04:59:12Z</dcterms:created>
  <dc:creator>openpyxl</dc:creator>
  <dc:description/>
  <dc:language>en-US</dc:language>
  <cp:lastModifiedBy/>
  <dcterms:modified xsi:type="dcterms:W3CDTF">2026-03-22T04:59:12Z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